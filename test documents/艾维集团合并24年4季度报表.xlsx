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 activeTab="2"/>
  </bookViews>
  <sheets>
    <sheet name="集团合并-资" sheetId="1" r:id="rId1"/>
    <sheet name="集团合并-利" sheetId="2" r:id="rId2"/>
    <sheet name="集团合并-现" sheetId="3" r:id="rId3"/>
    <sheet name="报表附注" sheetId="4" r:id="rId4"/>
  </sheets>
  <externalReferences>
    <externalReference r:id="rId5"/>
  </externalReferences>
  <definedNames>
    <definedName name="财务报表">[1]宇诚服饰!$A$1</definedName>
    <definedName name="_xlnm._FilterDatabase" localSheetId="3" hidden="1">报表附注!#REF!</definedName>
  </definedNames>
  <calcPr calcId="144525"/>
</workbook>
</file>

<file path=xl/sharedStrings.xml><?xml version="1.0" encoding="utf-8"?>
<sst xmlns="http://schemas.openxmlformats.org/spreadsheetml/2006/main" count="466" uniqueCount="322">
  <si>
    <t>资产负债表</t>
  </si>
  <si>
    <t>公司：云南艾维投资集团（合并）</t>
  </si>
  <si>
    <t>年初数</t>
  </si>
  <si>
    <t>期末数</t>
  </si>
  <si>
    <t>货币资金</t>
  </si>
  <si>
    <t>短期借款</t>
  </si>
  <si>
    <t>金融资产</t>
  </si>
  <si>
    <t>金融负债</t>
  </si>
  <si>
    <t>应收票据</t>
  </si>
  <si>
    <t>应付票据</t>
  </si>
  <si>
    <t>应收账款</t>
  </si>
  <si>
    <t>应付账款</t>
  </si>
  <si>
    <t>预付款项</t>
  </si>
  <si>
    <t>预收账款</t>
  </si>
  <si>
    <t>应收利息</t>
  </si>
  <si>
    <t>应付职工薪酬</t>
  </si>
  <si>
    <t>应收股利</t>
  </si>
  <si>
    <t>应交税费</t>
  </si>
  <si>
    <t>其他应收款</t>
  </si>
  <si>
    <t>应付利息</t>
  </si>
  <si>
    <t>存货</t>
  </si>
  <si>
    <t>应付股利</t>
  </si>
  <si>
    <t>持有待售资产</t>
  </si>
  <si>
    <t>其他应付款</t>
  </si>
  <si>
    <t>一年内到期的非流动资产</t>
  </si>
  <si>
    <t>持有待售负债</t>
  </si>
  <si>
    <t>其他流动资产</t>
  </si>
  <si>
    <t>流动资产合计</t>
  </si>
  <si>
    <t>其他流动负债</t>
  </si>
  <si>
    <t>非流动资产：</t>
  </si>
  <si>
    <t>流动负债合计</t>
  </si>
  <si>
    <t>可供出售金融资产</t>
  </si>
  <si>
    <t>非流动负债：</t>
  </si>
  <si>
    <t>持有至到期投资</t>
  </si>
  <si>
    <t>长期借款</t>
  </si>
  <si>
    <t>长期应收款</t>
  </si>
  <si>
    <t>应付债券</t>
  </si>
  <si>
    <t>长期股权投资</t>
  </si>
  <si>
    <t>长期应付款</t>
  </si>
  <si>
    <t>投资性房地产</t>
  </si>
  <si>
    <t>递延收益</t>
  </si>
  <si>
    <t>固定资产</t>
  </si>
  <si>
    <t>递延所得税负债</t>
  </si>
  <si>
    <t>在建工程</t>
  </si>
  <si>
    <t>其他非流动负债</t>
  </si>
  <si>
    <t>工程物资</t>
  </si>
  <si>
    <t>非流动负债合计</t>
  </si>
  <si>
    <t>固定资产清理</t>
  </si>
  <si>
    <t>负债合计</t>
  </si>
  <si>
    <t>生产性生物资产</t>
  </si>
  <si>
    <t>所有者权益</t>
  </si>
  <si>
    <t>油气资产</t>
  </si>
  <si>
    <t>实收资本</t>
  </si>
  <si>
    <t>无形资产</t>
  </si>
  <si>
    <t>其他权益工具</t>
  </si>
  <si>
    <t>开发支出</t>
  </si>
  <si>
    <t>资本公积</t>
  </si>
  <si>
    <t>商誉</t>
  </si>
  <si>
    <t>减：库存股</t>
  </si>
  <si>
    <t>长期待摊费用</t>
  </si>
  <si>
    <t>其他综合收益</t>
  </si>
  <si>
    <t>递延所得税资产</t>
  </si>
  <si>
    <t>盈余公积</t>
  </si>
  <si>
    <t>其他非流动资产</t>
  </si>
  <si>
    <t>未分配利润</t>
  </si>
  <si>
    <t>非流动资产合计</t>
  </si>
  <si>
    <t>所有者权益合计</t>
  </si>
  <si>
    <t>资产总计</t>
  </si>
  <si>
    <t>负债和所有者权益合计</t>
  </si>
  <si>
    <t>利润表</t>
  </si>
  <si>
    <t>2024年</t>
  </si>
  <si>
    <t>4季度</t>
  </si>
  <si>
    <t>本年合计数</t>
  </si>
  <si>
    <t>本期数</t>
  </si>
  <si>
    <t>一、营业收入</t>
  </si>
  <si>
    <t>　　减：营业成本</t>
  </si>
  <si>
    <t>　　　　税金及附加</t>
  </si>
  <si>
    <t>　　　　销售费用</t>
  </si>
  <si>
    <t>　　　　管理费用</t>
  </si>
  <si>
    <t>　　　　财务费用</t>
  </si>
  <si>
    <t>　　　　资产减值损失</t>
  </si>
  <si>
    <t>　　加：公允价值变动收益（损失以“-”号填列）</t>
  </si>
  <si>
    <t>　　　　投资收益（损失以“-”号填列）</t>
  </si>
  <si>
    <t>　　　　其中：对联营企业和合营企业的投资收益</t>
  </si>
  <si>
    <t>       其他收益</t>
  </si>
  <si>
    <t>二、营业利润（亏损以“-”号填列）</t>
  </si>
  <si>
    <t>　　加：营业外收入</t>
  </si>
  <si>
    <t>　　    其中：非流动资产处置利得</t>
  </si>
  <si>
    <t>　　减：营业外支出</t>
  </si>
  <si>
    <t>　　    其中：非流动资产处置损失</t>
  </si>
  <si>
    <t>三、利润总额（亏损总额以“-”号填列）</t>
  </si>
  <si>
    <t>　　减：所得税费用</t>
  </si>
  <si>
    <t>四、净利润（净亏损以“-”号填列）</t>
  </si>
  <si>
    <t>现金流量表</t>
  </si>
  <si>
    <t>一、经营活动产生的现金流量：</t>
  </si>
  <si>
    <t>      销售商品、提供劳务收到的现金</t>
  </si>
  <si>
    <t>      收到的税费返还</t>
  </si>
  <si>
    <t>      收到其他与经营活动有关的现金</t>
  </si>
  <si>
    <t>      经营活动现金流入小计</t>
  </si>
  <si>
    <t>      购买商品、接受劳务支付的现金</t>
  </si>
  <si>
    <t>      支付给职工以及为职工支付的现金</t>
  </si>
  <si>
    <t>      支付的各项税费</t>
  </si>
  <si>
    <t>      支付其他与经营活动有关的现金</t>
  </si>
  <si>
    <t>      经营活动现金流出小计</t>
  </si>
  <si>
    <t>              经营活动产生的现金流量净额</t>
  </si>
  <si>
    <t>二、投资活动产生的现金流量：</t>
  </si>
  <si>
    <t>      收回投资收到的现金</t>
  </si>
  <si>
    <t>      取得投资收益收到的现金</t>
  </si>
  <si>
    <t>      处置固定资产、无形资产和其他长期资产收回的现金净额</t>
  </si>
  <si>
    <t>      收到其他与投资活动有关的现金</t>
  </si>
  <si>
    <t>      投资活动现金流入小计</t>
  </si>
  <si>
    <t>      购建固定资产、无形资产和其他长期资产支付的现金</t>
  </si>
  <si>
    <t>      投资支付的现金</t>
  </si>
  <si>
    <t>      取得子公司及其他营业单位支付的现金净额</t>
  </si>
  <si>
    <t>      支付其他与投资活动有关的现金</t>
  </si>
  <si>
    <t>      投资活动现金流出小计</t>
  </si>
  <si>
    <t>              投资活动产生的现金流量净额</t>
  </si>
  <si>
    <t>三、筹资活动产生的现金流量：</t>
  </si>
  <si>
    <t>      吸收投资收到的现金</t>
  </si>
  <si>
    <t>      取得借款收到的现金</t>
  </si>
  <si>
    <t>      收到其他与筹资活动有关的现金</t>
  </si>
  <si>
    <t>      筹资活动现金流入小计</t>
  </si>
  <si>
    <t>      偿还债务支付的现金</t>
  </si>
  <si>
    <t>      分配股利、利润或偿付利息支付的现金</t>
  </si>
  <si>
    <t>      支付其他与筹资活动有关的现金</t>
  </si>
  <si>
    <t>      筹资活动现金流出小计</t>
  </si>
  <si>
    <t>              筹资活动产生的现金流量净额</t>
  </si>
  <si>
    <t>四、汇率变动对现金及现金等价物的影响</t>
  </si>
  <si>
    <t>五、现金及现金等价物净增加额</t>
  </si>
  <si>
    <t>    加：期初现金及现金等价物余额</t>
  </si>
  <si>
    <t>六、期末现金及现金等价物余额</t>
  </si>
  <si>
    <t>附注信息</t>
  </si>
  <si>
    <t>现金</t>
  </si>
  <si>
    <t>银行存款</t>
  </si>
  <si>
    <t>集团本部</t>
  </si>
  <si>
    <t>贵阳百贸大厦移交资产</t>
  </si>
  <si>
    <t>储值卡</t>
  </si>
  <si>
    <t>鼎泉贸易</t>
  </si>
  <si>
    <t>植物医生</t>
  </si>
  <si>
    <t>三楼尊晖翡翠</t>
  </si>
  <si>
    <t>宇诚服饰</t>
  </si>
  <si>
    <t>贵阳南国花锦春天百货有限公司</t>
  </si>
  <si>
    <t>遵义国贸春天百货购物中心有限公司</t>
  </si>
  <si>
    <t>POS款</t>
  </si>
  <si>
    <t>遵义百盛商业发展有限公司</t>
  </si>
  <si>
    <t>田雷</t>
  </si>
  <si>
    <t>六盘水</t>
  </si>
  <si>
    <t>姚则游</t>
  </si>
  <si>
    <t>孟连-刘丁铭</t>
  </si>
  <si>
    <t>凤庆-张权</t>
  </si>
  <si>
    <t>新平-刘劲松</t>
  </si>
  <si>
    <t>昆明文千商贸</t>
  </si>
  <si>
    <t>重庆百货大楼股份有限公司遵义商场</t>
  </si>
  <si>
    <t>贵州六盘水国贸</t>
  </si>
  <si>
    <t>韩首峰</t>
  </si>
  <si>
    <t>昆明世纪城SP店（李仙宝）</t>
  </si>
  <si>
    <t>艾维国际健身俱乐部</t>
  </si>
  <si>
    <t>石屏-吴建军</t>
  </si>
  <si>
    <t>丘北新城-王登莉</t>
  </si>
  <si>
    <t>泸西-段宁</t>
  </si>
  <si>
    <t>禄丰-段淑霜</t>
  </si>
  <si>
    <t>师宗-周义飞</t>
  </si>
  <si>
    <t>呈贡-许彦坤</t>
  </si>
  <si>
    <t>江川-余绍鹏</t>
  </si>
  <si>
    <t>嵩明-杨娅</t>
  </si>
  <si>
    <t>贵阳汇利星商业管理有限公司</t>
  </si>
  <si>
    <t>曲靖晋北体育用品有限公司</t>
  </si>
  <si>
    <t>昆明顺城若普商贸有限公司</t>
  </si>
  <si>
    <t>艾维贸易</t>
  </si>
  <si>
    <t>赵峥</t>
  </si>
  <si>
    <t>预计销售结算</t>
  </si>
  <si>
    <t>昆明云顺和商业发展有限公司</t>
  </si>
  <si>
    <t>昆明王府井赛特奥莱商业有限公司</t>
  </si>
  <si>
    <t>应收POS款</t>
  </si>
  <si>
    <t>昆明砂之船商业管理有限公司</t>
  </si>
  <si>
    <t>昆明东润商业管理有限公司</t>
  </si>
  <si>
    <t>云南悦汇商业管理有限公司</t>
  </si>
  <si>
    <t>昆明晟鹏物业服务有限公司</t>
  </si>
  <si>
    <t>昆明首创奥莱商业运营管理有限公司</t>
  </si>
  <si>
    <t>胡锦秀</t>
  </si>
  <si>
    <t>周磊</t>
  </si>
  <si>
    <t>云南百富盈商业有限公司</t>
  </si>
  <si>
    <t>昆明红星商业管理有限公司</t>
  </si>
  <si>
    <t>昆明万达广场商业管理有限公司</t>
  </si>
  <si>
    <t>昆明华润置地三联置业有限公司</t>
  </si>
  <si>
    <t>艾维名店</t>
  </si>
  <si>
    <t>应收货款</t>
  </si>
  <si>
    <t>应收储值卡</t>
  </si>
  <si>
    <t>应收单位款</t>
  </si>
  <si>
    <t>艾维餐饮</t>
  </si>
  <si>
    <t>应收云南艾维投资集团有限公司关联公司签单款</t>
  </si>
  <si>
    <t>应收云南艾维贸易有限公司签单款</t>
  </si>
  <si>
    <t>应收云南艾维体育用品有限公司租赁费</t>
  </si>
  <si>
    <t>应收储值卡款</t>
  </si>
  <si>
    <t>艾维眼科</t>
  </si>
  <si>
    <t>应收医保款</t>
  </si>
  <si>
    <t>预付账款</t>
  </si>
  <si>
    <t>鸿城广场一楼</t>
  </si>
  <si>
    <t>鸿城广场二楼</t>
  </si>
  <si>
    <t>市房管局</t>
  </si>
  <si>
    <t>云南云信物业管理有限公司</t>
  </si>
  <si>
    <t>云南省轻工业供销有限公司</t>
  </si>
  <si>
    <t>耐克体育（中国）有限公司</t>
  </si>
  <si>
    <t>广州赫斯汀服饰有限公司</t>
  </si>
  <si>
    <t>汤美费格商贸（上海）有限公司</t>
  </si>
  <si>
    <t>鹏卫齐商业（上海）有限公司</t>
  </si>
  <si>
    <t>湖州至格贸易有限公司</t>
  </si>
  <si>
    <t>上海创思服饰有限公司</t>
  </si>
  <si>
    <t>欣格服饰贸易（上海）有限公司</t>
  </si>
  <si>
    <t>美商鹏卫齐商贸（上海）有限公司</t>
  </si>
  <si>
    <t>笛克恩唯（上海）服饰有限公司</t>
  </si>
  <si>
    <t>昆明恒荣装饰工程有限公司</t>
  </si>
  <si>
    <t>昆明典故装饰工程有限公司</t>
  </si>
  <si>
    <t>机时商贸（上海）有限公司</t>
  </si>
  <si>
    <t>云南阔仪贸易有限责任公司</t>
  </si>
  <si>
    <t>上海邑通道具股份有限公司</t>
  </si>
  <si>
    <t>大理泰业</t>
  </si>
  <si>
    <t>预付货款-云南君问贸易有限公司</t>
  </si>
  <si>
    <t>预付货款</t>
  </si>
  <si>
    <t>预付医疗物资款项</t>
  </si>
  <si>
    <t>水电费</t>
  </si>
  <si>
    <t>云南艾维精选酒店管理有限公司</t>
  </si>
  <si>
    <t>昆明市印铁制罐厂</t>
  </si>
  <si>
    <t>金朝敏</t>
  </si>
  <si>
    <t>云南艾维服饰有限公司</t>
  </si>
  <si>
    <t>坏账准备-云南中宏融资担保有限公司</t>
  </si>
  <si>
    <t>云南艾维体育俱乐部有限公司</t>
  </si>
  <si>
    <t>昆明益康中西医结合医院</t>
  </si>
  <si>
    <t>昆明得能仕人力咨询有限公司</t>
  </si>
  <si>
    <t>昆明湖溪装饰工程有限公司</t>
  </si>
  <si>
    <t>云南艾维健康管理有限公司</t>
  </si>
  <si>
    <t>昆明艾维健康体检中心有限公司</t>
  </si>
  <si>
    <t>三真不二文化产业发展（云南）有限公司</t>
  </si>
  <si>
    <t>昆明市墨水厂</t>
  </si>
  <si>
    <t>代收代付款（代加盟商垫付款项）</t>
  </si>
  <si>
    <t>租赁押金</t>
  </si>
  <si>
    <t>商场保证金</t>
  </si>
  <si>
    <t>云南艾时贸易有限公司</t>
  </si>
  <si>
    <t>云南艾合餐饮有限公司</t>
  </si>
  <si>
    <t>云南华恩医疗投资有限公司</t>
  </si>
  <si>
    <t>菲尔泰斯体育用品有限公司第一分公司</t>
  </si>
  <si>
    <t>菲尔泰斯体育用品有限公司</t>
  </si>
  <si>
    <t>贵阳艾维贸易有限公司</t>
  </si>
  <si>
    <t>个人暂支款</t>
  </si>
  <si>
    <t>进项税金</t>
  </si>
  <si>
    <t>供应商押金</t>
  </si>
  <si>
    <t>昆明赛伦房地产有限公司</t>
  </si>
  <si>
    <t>商场押金</t>
  </si>
  <si>
    <t>业主保证金</t>
  </si>
  <si>
    <t>昆明蔓铭经贸有限公司</t>
  </si>
  <si>
    <t>员工暂借款</t>
  </si>
  <si>
    <t>昆明柏联物业管理有限公司</t>
  </si>
  <si>
    <t>昆明迪美雅斯装饰工程公司（朱清阳）</t>
  </si>
  <si>
    <t>暂估进项税</t>
  </si>
  <si>
    <t>美商华尔纳商贸（上海）有限公司</t>
  </si>
  <si>
    <t>深圳汇骏服装有限公司上海分公司</t>
  </si>
  <si>
    <t>华尔纳商业（上海）有限公司</t>
  </si>
  <si>
    <t>上海式时商贸有限公司</t>
  </si>
  <si>
    <t>丽华坊商贸（上海）有限公司</t>
  </si>
  <si>
    <t>云南春城财富物业管理有限公司</t>
  </si>
  <si>
    <t>昆明城建物业管理有限公司</t>
  </si>
  <si>
    <t>昆明艾维广告有限公司</t>
  </si>
  <si>
    <t>云南艾维体育用品有限公司</t>
  </si>
  <si>
    <t>昆明格美装饰工程设计有限公司</t>
  </si>
  <si>
    <t>特步</t>
  </si>
  <si>
    <t>客户往来</t>
  </si>
  <si>
    <t>清明上河-员工借款</t>
  </si>
  <si>
    <t>云南艾合餐饮有限公司-云南艾维体育俱乐部有限公司</t>
  </si>
  <si>
    <t>云南艾合餐饮有限公司-备用金</t>
  </si>
  <si>
    <t>云南艾维餐饮有限公司-备用金</t>
  </si>
  <si>
    <t>临时采购备用金</t>
  </si>
  <si>
    <t>艾维服饰</t>
  </si>
  <si>
    <t>其他应付款（华山眼科）</t>
  </si>
  <si>
    <t>广德茂</t>
  </si>
  <si>
    <t>客户往来（广德茂）</t>
  </si>
  <si>
    <t>精诚</t>
  </si>
  <si>
    <t>其他应收（精诚）</t>
  </si>
  <si>
    <t>库存商品</t>
  </si>
  <si>
    <t>华山眼科</t>
  </si>
  <si>
    <t>固定资产账面价值</t>
  </si>
  <si>
    <t>南屏街66号工程项目</t>
  </si>
  <si>
    <t>故事三期项目</t>
  </si>
  <si>
    <t>医院装修</t>
  </si>
  <si>
    <t>系统软件</t>
  </si>
  <si>
    <t>特许权使用费(商标)</t>
  </si>
  <si>
    <t>贵阳土地使用权</t>
  </si>
  <si>
    <t>软件</t>
  </si>
  <si>
    <t>精诚服装</t>
  </si>
  <si>
    <t>土地使用权</t>
  </si>
  <si>
    <t>广德茂实业</t>
  </si>
  <si>
    <t>店铺装修</t>
  </si>
  <si>
    <t>装修费用</t>
  </si>
  <si>
    <t>银行借款</t>
  </si>
  <si>
    <t>应付单位款</t>
  </si>
  <si>
    <t>应付账款（华山眼科）</t>
  </si>
  <si>
    <t>应付账款（精诚）</t>
  </si>
  <si>
    <t>其他应付账款</t>
  </si>
  <si>
    <t>云南新东方培训学校</t>
  </si>
  <si>
    <t>云南鼎泉贸易有限公司</t>
  </si>
  <si>
    <t>云南东晟科技有限公司</t>
  </si>
  <si>
    <t>储值卡资金</t>
  </si>
  <si>
    <t>昆明博奇经贸有限公司</t>
  </si>
  <si>
    <t>陈钱飞</t>
  </si>
  <si>
    <t>赵洪运</t>
  </si>
  <si>
    <t>云信物业</t>
  </si>
  <si>
    <t>养老保险</t>
  </si>
  <si>
    <t>昆明金牛经贸有限公司</t>
  </si>
  <si>
    <t>医疗保险</t>
  </si>
  <si>
    <t>三市街29号</t>
  </si>
  <si>
    <t>云南大道生文化传播有限公司</t>
  </si>
  <si>
    <t>莫翠凤（名创优品）</t>
  </si>
  <si>
    <t>质保金</t>
  </si>
  <si>
    <t>上海保资智能科技有限公司</t>
  </si>
  <si>
    <t>昆明迪美雅斯装饰工程有限公司</t>
  </si>
  <si>
    <t>装修质保金</t>
  </si>
  <si>
    <t>其他应付款\扣员工款</t>
  </si>
  <si>
    <t>员工保险</t>
  </si>
  <si>
    <t>应付员工款</t>
  </si>
  <si>
    <t>其他应付账款（精诚）</t>
  </si>
  <si>
    <t>其他应付款（广德茂）</t>
  </si>
  <si>
    <t>吴存良</t>
  </si>
  <si>
    <t>苏秀娟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</si>
</sst>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</font>
    <font>
      <b/>
      <sz val="16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ajor"/>
    </font>
    <font>
      <sz val="11"/>
      <color theme="1"/>
      <name val="宋体"/>
      <charset val="134"/>
      <scheme val="major"/>
    </font>
    <font>
      <b/>
      <sz val="11"/>
      <color theme="1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0" fillId="0" borderId="0"/>
    <xf numFmtId="0" fontId="0" fillId="7" borderId="6" applyNumberFormat="0" applyFon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8" fillId="11" borderId="9" applyNumberFormat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9" fillId="11" borderId="5" applyNumberFormat="0" applyAlignment="0" applyProtection="0">
      <alignment vertical="center"/>
    </xf>
    <xf numFmtId="0" fontId="30" fillId="12" borderId="10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</cellStyleXfs>
  <cellXfs count="52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 wrapText="1"/>
    </xf>
    <xf numFmtId="43" fontId="3" fillId="0" borderId="1" xfId="9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 wrapText="1"/>
    </xf>
    <xf numFmtId="43" fontId="3" fillId="0" borderId="1" xfId="9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3" fillId="0" borderId="0" xfId="0" applyNumberFormat="1" applyFont="1" applyFill="1" applyBorder="1" applyAlignment="1">
      <alignment horizontal="left" vertical="center" wrapText="1"/>
    </xf>
    <xf numFmtId="43" fontId="3" fillId="0" borderId="0" xfId="9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43" fontId="3" fillId="0" borderId="1" xfId="9" applyFont="1" applyFill="1" applyBorder="1" applyAlignment="1">
      <alignment horizontal="left" vertical="center" wrapText="1"/>
    </xf>
    <xf numFmtId="0" fontId="4" fillId="0" borderId="1" xfId="55" applyNumberFormat="1" applyFont="1" applyFill="1" applyBorder="1" applyAlignment="1">
      <alignment vertical="center" wrapText="1"/>
    </xf>
    <xf numFmtId="0" fontId="3" fillId="0" borderId="1" xfId="55" applyNumberFormat="1" applyFont="1" applyFill="1" applyBorder="1" applyAlignment="1">
      <alignment horizontal="left" vertical="center" wrapText="1"/>
    </xf>
    <xf numFmtId="43" fontId="2" fillId="0" borderId="1" xfId="9" applyFont="1" applyFill="1" applyBorder="1">
      <alignment vertical="center"/>
    </xf>
    <xf numFmtId="0" fontId="3" fillId="0" borderId="1" xfId="55" applyNumberFormat="1" applyFont="1" applyFill="1" applyBorder="1" applyAlignment="1">
      <alignment vertical="center"/>
    </xf>
    <xf numFmtId="43" fontId="3" fillId="0" borderId="1" xfId="30" applyFont="1" applyFill="1" applyBorder="1" applyAlignment="1">
      <alignment horizontal="center" vertical="center"/>
    </xf>
    <xf numFmtId="0" fontId="3" fillId="0" borderId="1" xfId="55" applyNumberFormat="1" applyFont="1" applyFill="1" applyBorder="1" applyAlignment="1">
      <alignment horizontal="center" vertical="center"/>
    </xf>
    <xf numFmtId="0" fontId="4" fillId="0" borderId="1" xfId="55" applyNumberFormat="1" applyFont="1" applyFill="1" applyBorder="1" applyAlignment="1">
      <alignment horizontal="left" vertical="center" wrapText="1"/>
    </xf>
    <xf numFmtId="43" fontId="3" fillId="0" borderId="1" xfId="30" applyFont="1" applyFill="1" applyBorder="1" applyAlignment="1">
      <alignment vertical="center"/>
    </xf>
    <xf numFmtId="0" fontId="3" fillId="0" borderId="1" xfId="55" applyNumberFormat="1" applyFont="1" applyFill="1" applyBorder="1" applyAlignment="1">
      <alignment vertical="center" wrapText="1"/>
    </xf>
    <xf numFmtId="0" fontId="3" fillId="0" borderId="1" xfId="55" applyNumberFormat="1" applyFont="1" applyFill="1" applyBorder="1" applyAlignment="1">
      <alignment horizontal="left" vertical="center" wrapText="1"/>
    </xf>
    <xf numFmtId="0" fontId="1" fillId="0" borderId="0" xfId="0" applyFont="1"/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3" fontId="7" fillId="0" borderId="1" xfId="9" applyFont="1" applyFill="1" applyBorder="1" applyAlignment="1">
      <alignment horizontal="left" vertical="center"/>
    </xf>
    <xf numFmtId="43" fontId="7" fillId="0" borderId="1" xfId="9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43" fontId="0" fillId="0" borderId="1" xfId="9" applyFont="1" applyFill="1" applyBorder="1" applyAlignment="1">
      <alignment horizontal="center" vertical="center"/>
    </xf>
    <xf numFmtId="43" fontId="8" fillId="0" borderId="1" xfId="14" applyFont="1" applyFill="1" applyBorder="1" applyAlignment="1">
      <alignment vertical="center"/>
    </xf>
    <xf numFmtId="176" fontId="0" fillId="0" borderId="0" xfId="0" applyNumberFormat="1"/>
    <xf numFmtId="43" fontId="9" fillId="0" borderId="1" xfId="9" applyFont="1" applyFill="1" applyBorder="1" applyAlignment="1">
      <alignment vertical="center"/>
    </xf>
    <xf numFmtId="43" fontId="1" fillId="0" borderId="1" xfId="9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43" fontId="0" fillId="0" borderId="1" xfId="9" applyFont="1" applyBorder="1" applyAlignment="1">
      <alignment horizontal="center" vertical="center"/>
    </xf>
    <xf numFmtId="43" fontId="11" fillId="0" borderId="1" xfId="14" applyFont="1" applyFill="1" applyBorder="1" applyAlignment="1">
      <alignment vertical="center"/>
    </xf>
    <xf numFmtId="43" fontId="0" fillId="0" borderId="1" xfId="9" applyFont="1" applyFill="1" applyBorder="1" applyAlignment="1">
      <alignment vertical="center"/>
    </xf>
    <xf numFmtId="43" fontId="7" fillId="0" borderId="1" xfId="9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43" fontId="0" fillId="0" borderId="1" xfId="9" applyFont="1" applyFill="1" applyBorder="1">
      <alignment vertical="center"/>
    </xf>
    <xf numFmtId="43" fontId="12" fillId="0" borderId="1" xfId="14" applyFont="1" applyFill="1" applyBorder="1" applyAlignment="1">
      <alignment vertical="center"/>
    </xf>
    <xf numFmtId="43" fontId="13" fillId="0" borderId="1" xfId="9" applyFont="1" applyFill="1" applyBorder="1">
      <alignment vertical="center"/>
    </xf>
    <xf numFmtId="43" fontId="14" fillId="0" borderId="1" xfId="9" applyFont="1" applyFill="1" applyBorder="1">
      <alignment vertical="center"/>
    </xf>
    <xf numFmtId="43" fontId="9" fillId="0" borderId="1" xfId="9" applyFont="1" applyFill="1" applyBorder="1">
      <alignment vertical="center"/>
    </xf>
    <xf numFmtId="43" fontId="0" fillId="0" borderId="0" xfId="0" applyNumberFormat="1" applyFill="1"/>
  </cellXfs>
  <cellStyles count="60">
    <cellStyle name="常规" xfId="0" builtinId="0"/>
    <cellStyle name="千位分隔 2 4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千位分隔 20 2" xfId="14"/>
    <cellStyle name="常规 6" xfId="15"/>
    <cellStyle name="注释" xfId="16" builtinId="10"/>
    <cellStyle name="60% - 强调文字颜色 2" xfId="17" builtinId="36"/>
    <cellStyle name="标题 4" xfId="18" builtinId="19"/>
    <cellStyle name="警告文本" xfId="19" builtinId="11"/>
    <cellStyle name="标题" xfId="20" builtinId="15"/>
    <cellStyle name="常规 12" xfId="21"/>
    <cellStyle name="解释性文本" xfId="22" builtinId="53"/>
    <cellStyle name="标题 1" xfId="23" builtinId="16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常规 5 3" xfId="29"/>
    <cellStyle name="千位分隔 11" xfId="30"/>
    <cellStyle name="计算" xfId="31" builtinId="22"/>
    <cellStyle name="检查单元格" xfId="32" builtinId="23"/>
    <cellStyle name="20% - 强调文字颜色 6" xfId="33" builtinId="50"/>
    <cellStyle name="强调文字颜色 2" xfId="34" builtinId="33"/>
    <cellStyle name="链接单元格" xfId="35" builtinId="24"/>
    <cellStyle name="汇总" xfId="36" builtinId="25"/>
    <cellStyle name="好" xfId="37" builtinId="26"/>
    <cellStyle name="适中" xfId="38" builtinId="28"/>
    <cellStyle name="20% - 强调文字颜色 5" xfId="39" builtinId="46"/>
    <cellStyle name="强调文字颜色 1" xfId="40" builtinId="29"/>
    <cellStyle name="20% - 强调文字颜色 1" xfId="41" builtinId="30"/>
    <cellStyle name="40% - 强调文字颜色 1" xfId="42" builtinId="31"/>
    <cellStyle name="千位分隔 18" xfId="43"/>
    <cellStyle name="20% - 强调文字颜色 2" xfId="44" builtinId="34"/>
    <cellStyle name="40% - 强调文字颜色 2" xfId="45" builtinId="35"/>
    <cellStyle name="强调文字颜色 3" xfId="46" builtinId="37"/>
    <cellStyle name="强调文字颜色 4" xfId="47" builtinId="41"/>
    <cellStyle name="20% - 强调文字颜色 4" xfId="48" builtinId="42"/>
    <cellStyle name="40% - 强调文字颜色 4" xfId="49" builtinId="43"/>
    <cellStyle name="强调文字颜色 5" xfId="50" builtinId="45"/>
    <cellStyle name="40% - 强调文字颜色 5" xfId="51" builtinId="47"/>
    <cellStyle name="60% - 强调文字颜色 5" xfId="52" builtinId="48"/>
    <cellStyle name="强调文字颜色 6" xfId="53" builtinId="49"/>
    <cellStyle name="40% - 强调文字颜色 6" xfId="54" builtinId="51"/>
    <cellStyle name="常规 2 3 2" xfId="55"/>
    <cellStyle name="60% - 强调文字颜色 6" xfId="56" builtinId="52"/>
    <cellStyle name="千位分隔 2 3" xfId="57"/>
    <cellStyle name="常规 15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3406;&#32500;&#38598;&#22242;\&#26032;&#25972;&#29702;\&#36130;&#21153;&#25253;&#34920;\2021&#24180;\1&#23395;&#24230;\1&#23395;&#24230;&#21508;&#20844;&#21496;\2021&#24180;&#33406;&#32500;&#38598;&#22242;&#21512;&#24182;&#25253;&#34920;(1&#23395;&#24230;-2021.5.6)(1)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评级"/>
      <sheetName val="集团合并"/>
      <sheetName val="合并报表附注（资产科目）"/>
      <sheetName val="合并报表附注(往来款）"/>
      <sheetName val="合并报表附注（负债科目）"/>
      <sheetName val="集团单体"/>
      <sheetName val="宇诚服饰"/>
      <sheetName val="艾维贸易"/>
      <sheetName val="艾维名店"/>
      <sheetName val="艾维餐饮"/>
      <sheetName val="华山眼科"/>
      <sheetName val="精诚服饰"/>
      <sheetName val="广德茂"/>
      <sheetName val="艾维餐饮 (A)"/>
      <sheetName val="艾时贸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J37"/>
  <sheetViews>
    <sheetView workbookViewId="0">
      <selection activeCell="D9" sqref="D9"/>
    </sheetView>
  </sheetViews>
  <sheetFormatPr defaultColWidth="9" defaultRowHeight="13.5"/>
  <cols>
    <col min="1" max="1" width="32.6283185840708" customWidth="1"/>
    <col min="2" max="3" width="20.5044247787611" customWidth="1"/>
    <col min="4" max="4" width="21.5044247787611" customWidth="1"/>
    <col min="5" max="6" width="21.3716814159292" customWidth="1"/>
    <col min="7" max="7" width="19.1858407079646" customWidth="1"/>
    <col min="8" max="8" width="12.7964601769912" customWidth="1"/>
    <col min="9" max="10" width="19.6371681415929"/>
  </cols>
  <sheetData>
    <row r="1" ht="17.6" spans="1:6">
      <c r="A1" s="41" t="s">
        <v>0</v>
      </c>
      <c r="B1" s="42"/>
      <c r="C1" s="42"/>
      <c r="D1" s="42"/>
      <c r="E1" s="42"/>
      <c r="F1" s="43"/>
    </row>
    <row r="2" ht="16" customHeight="1" spans="1:6">
      <c r="A2" s="27" t="s">
        <v>1</v>
      </c>
      <c r="B2" s="44" t="s">
        <v>2</v>
      </c>
      <c r="C2" s="44" t="s">
        <v>3</v>
      </c>
      <c r="D2" s="45">
        <v>45657</v>
      </c>
      <c r="E2" s="44" t="s">
        <v>2</v>
      </c>
      <c r="F2" s="44" t="s">
        <v>3</v>
      </c>
    </row>
    <row r="3" ht="16" customHeight="1" spans="1:10">
      <c r="A3" s="46" t="s">
        <v>4</v>
      </c>
      <c r="B3" s="47">
        <v>23611861.57</v>
      </c>
      <c r="C3" s="47">
        <v>19712566.51</v>
      </c>
      <c r="D3" s="46" t="s">
        <v>5</v>
      </c>
      <c r="E3" s="48">
        <v>226140000</v>
      </c>
      <c r="F3" s="47">
        <v>195257566</v>
      </c>
      <c r="G3"/>
      <c r="I3" s="32"/>
      <c r="J3" s="32"/>
    </row>
    <row r="4" ht="16" customHeight="1" spans="1:10">
      <c r="A4" s="46" t="s">
        <v>6</v>
      </c>
      <c r="B4" s="47">
        <v>0</v>
      </c>
      <c r="C4" s="47">
        <v>0</v>
      </c>
      <c r="D4" s="46" t="s">
        <v>7</v>
      </c>
      <c r="E4" s="48">
        <v>0</v>
      </c>
      <c r="F4" s="47">
        <v>0</v>
      </c>
      <c r="G4"/>
      <c r="I4" s="32"/>
      <c r="J4" s="32"/>
    </row>
    <row r="5" ht="16" customHeight="1" spans="1:10">
      <c r="A5" s="46" t="s">
        <v>8</v>
      </c>
      <c r="B5" s="47">
        <v>0</v>
      </c>
      <c r="C5" s="47">
        <v>0</v>
      </c>
      <c r="D5" s="46" t="s">
        <v>9</v>
      </c>
      <c r="E5" s="48">
        <v>0</v>
      </c>
      <c r="F5" s="47">
        <v>0</v>
      </c>
      <c r="G5"/>
      <c r="I5" s="32"/>
      <c r="J5" s="32"/>
    </row>
    <row r="6" ht="16" customHeight="1" spans="1:10">
      <c r="A6" s="46" t="s">
        <v>10</v>
      </c>
      <c r="B6" s="47">
        <v>41035025.96</v>
      </c>
      <c r="C6" s="47">
        <v>43427690.64</v>
      </c>
      <c r="D6" s="46" t="s">
        <v>11</v>
      </c>
      <c r="E6" s="48">
        <v>88648236.83</v>
      </c>
      <c r="F6" s="47">
        <v>59913057.81</v>
      </c>
      <c r="G6"/>
      <c r="I6" s="32"/>
      <c r="J6" s="32"/>
    </row>
    <row r="7" ht="16" customHeight="1" spans="1:10">
      <c r="A7" s="46" t="s">
        <v>12</v>
      </c>
      <c r="B7" s="47">
        <v>105940083.21</v>
      </c>
      <c r="C7" s="47">
        <v>103656875.18</v>
      </c>
      <c r="D7" s="46" t="s">
        <v>13</v>
      </c>
      <c r="E7" s="48">
        <v>-674792.24</v>
      </c>
      <c r="F7" s="47">
        <v>-1006854.58</v>
      </c>
      <c r="G7"/>
      <c r="I7" s="32"/>
      <c r="J7" s="32"/>
    </row>
    <row r="8" ht="16" customHeight="1" spans="1:10">
      <c r="A8" s="46" t="s">
        <v>14</v>
      </c>
      <c r="B8" s="47">
        <v>0</v>
      </c>
      <c r="C8" s="47">
        <v>0</v>
      </c>
      <c r="D8" s="46" t="s">
        <v>15</v>
      </c>
      <c r="E8" s="48">
        <v>11736100.34</v>
      </c>
      <c r="F8" s="47">
        <v>6564080.05</v>
      </c>
      <c r="G8"/>
      <c r="I8" s="32"/>
      <c r="J8" s="32"/>
    </row>
    <row r="9" ht="16" customHeight="1" spans="1:10">
      <c r="A9" s="46" t="s">
        <v>16</v>
      </c>
      <c r="B9" s="47">
        <v>0</v>
      </c>
      <c r="C9" s="47">
        <v>0</v>
      </c>
      <c r="D9" s="46" t="s">
        <v>17</v>
      </c>
      <c r="E9" s="48">
        <v>-2021647.66</v>
      </c>
      <c r="F9" s="47">
        <v>-928398.32</v>
      </c>
      <c r="G9"/>
      <c r="I9" s="32"/>
      <c r="J9" s="32"/>
    </row>
    <row r="10" ht="16" customHeight="1" spans="1:10">
      <c r="A10" s="46" t="s">
        <v>18</v>
      </c>
      <c r="B10" s="47">
        <v>119442483.76</v>
      </c>
      <c r="C10" s="47">
        <v>130471154.1</v>
      </c>
      <c r="D10" s="46" t="s">
        <v>19</v>
      </c>
      <c r="E10" s="48">
        <v>0</v>
      </c>
      <c r="F10" s="47">
        <v>0</v>
      </c>
      <c r="G10"/>
      <c r="I10" s="32"/>
      <c r="J10" s="32"/>
    </row>
    <row r="11" ht="16" customHeight="1" spans="1:10">
      <c r="A11" s="46" t="s">
        <v>20</v>
      </c>
      <c r="B11" s="47">
        <v>154644692.57</v>
      </c>
      <c r="C11" s="47">
        <v>165835495.6</v>
      </c>
      <c r="D11" s="46" t="s">
        <v>21</v>
      </c>
      <c r="E11" s="48">
        <v>345481.07</v>
      </c>
      <c r="F11" s="47">
        <v>345481.07</v>
      </c>
      <c r="G11"/>
      <c r="I11" s="32"/>
      <c r="J11" s="32"/>
    </row>
    <row r="12" ht="16" customHeight="1" spans="1:10">
      <c r="A12" s="46" t="s">
        <v>22</v>
      </c>
      <c r="B12" s="47">
        <v>0</v>
      </c>
      <c r="C12" s="47">
        <v>0</v>
      </c>
      <c r="D12" s="46" t="s">
        <v>23</v>
      </c>
      <c r="E12" s="48">
        <v>14216600.53</v>
      </c>
      <c r="F12" s="47">
        <v>12579334.49</v>
      </c>
      <c r="G12"/>
      <c r="I12" s="32"/>
      <c r="J12" s="32"/>
    </row>
    <row r="13" ht="16" customHeight="1" spans="1:10">
      <c r="A13" s="46" t="s">
        <v>24</v>
      </c>
      <c r="B13" s="48">
        <v>0</v>
      </c>
      <c r="C13" s="48">
        <v>0</v>
      </c>
      <c r="D13" s="46" t="s">
        <v>25</v>
      </c>
      <c r="E13" s="48">
        <v>0</v>
      </c>
      <c r="F13" s="47">
        <v>0</v>
      </c>
      <c r="G13"/>
      <c r="I13" s="32"/>
      <c r="J13" s="32"/>
    </row>
    <row r="14" ht="16" customHeight="1" spans="1:10">
      <c r="A14" s="46" t="s">
        <v>26</v>
      </c>
      <c r="B14" s="48">
        <v>0</v>
      </c>
      <c r="C14" s="48">
        <v>0</v>
      </c>
      <c r="D14" s="46" t="s">
        <v>24</v>
      </c>
      <c r="E14" s="48">
        <v>0</v>
      </c>
      <c r="F14" s="48">
        <v>0</v>
      </c>
      <c r="G14"/>
      <c r="I14" s="32"/>
      <c r="J14" s="32"/>
    </row>
    <row r="15" ht="16" customHeight="1" spans="1:10">
      <c r="A15" s="46" t="s">
        <v>27</v>
      </c>
      <c r="B15" s="49">
        <v>444674147.07</v>
      </c>
      <c r="C15" s="50">
        <f>SUM(C3:C14)</f>
        <v>463103782.03</v>
      </c>
      <c r="D15" s="46" t="s">
        <v>28</v>
      </c>
      <c r="E15" s="48">
        <v>2851477.99</v>
      </c>
      <c r="F15" s="48">
        <v>1588707.85</v>
      </c>
      <c r="G15"/>
      <c r="I15" s="32"/>
      <c r="J15" s="32"/>
    </row>
    <row r="16" ht="16" customHeight="1" spans="1:10">
      <c r="A16" s="46" t="s">
        <v>29</v>
      </c>
      <c r="B16" s="48">
        <v>0</v>
      </c>
      <c r="C16" s="48">
        <v>0</v>
      </c>
      <c r="D16" s="46" t="s">
        <v>30</v>
      </c>
      <c r="E16" s="49">
        <v>341241456.86</v>
      </c>
      <c r="F16" s="50">
        <f>SUM(F3:F15)</f>
        <v>274312974.37</v>
      </c>
      <c r="I16" s="32"/>
      <c r="J16" s="32"/>
    </row>
    <row r="17" ht="16" customHeight="1" spans="1:10">
      <c r="A17" s="46" t="s">
        <v>31</v>
      </c>
      <c r="B17" s="48">
        <v>0</v>
      </c>
      <c r="C17" s="48">
        <v>0</v>
      </c>
      <c r="D17" s="46" t="s">
        <v>32</v>
      </c>
      <c r="E17" s="48">
        <v>0</v>
      </c>
      <c r="F17" s="48">
        <v>0</v>
      </c>
      <c r="G17"/>
      <c r="I17" s="32"/>
      <c r="J17" s="32"/>
    </row>
    <row r="18" ht="16" customHeight="1" spans="1:10">
      <c r="A18" s="46" t="s">
        <v>33</v>
      </c>
      <c r="B18" s="48">
        <v>0</v>
      </c>
      <c r="C18" s="48">
        <v>0</v>
      </c>
      <c r="D18" s="46" t="s">
        <v>34</v>
      </c>
      <c r="E18" s="48">
        <v>96605262</v>
      </c>
      <c r="F18" s="47">
        <v>99944800</v>
      </c>
      <c r="G18"/>
      <c r="I18" s="32"/>
      <c r="J18" s="32"/>
    </row>
    <row r="19" ht="16" customHeight="1" spans="1:10">
      <c r="A19" s="46" t="s">
        <v>35</v>
      </c>
      <c r="B19" s="48">
        <v>0</v>
      </c>
      <c r="C19" s="48">
        <v>0</v>
      </c>
      <c r="D19" s="46" t="s">
        <v>36</v>
      </c>
      <c r="E19" s="48">
        <v>0</v>
      </c>
      <c r="F19" s="48">
        <v>0</v>
      </c>
      <c r="G19"/>
      <c r="I19" s="32"/>
      <c r="J19" s="32"/>
    </row>
    <row r="20" ht="16" customHeight="1" spans="1:10">
      <c r="A20" s="46" t="s">
        <v>37</v>
      </c>
      <c r="B20" s="48">
        <v>16920950</v>
      </c>
      <c r="C20" s="48">
        <v>16920950</v>
      </c>
      <c r="D20" s="46" t="s">
        <v>38</v>
      </c>
      <c r="E20" s="48">
        <v>0</v>
      </c>
      <c r="F20" s="48">
        <v>0</v>
      </c>
      <c r="G20"/>
      <c r="I20" s="32"/>
      <c r="J20" s="32"/>
    </row>
    <row r="21" ht="16" customHeight="1" spans="1:10">
      <c r="A21" s="46" t="s">
        <v>39</v>
      </c>
      <c r="B21" s="48">
        <v>0</v>
      </c>
      <c r="C21" s="48">
        <v>0</v>
      </c>
      <c r="D21" s="46" t="s">
        <v>40</v>
      </c>
      <c r="E21" s="48">
        <v>63541.55</v>
      </c>
      <c r="F21" s="48">
        <v>0</v>
      </c>
      <c r="G21"/>
      <c r="I21" s="32"/>
      <c r="J21" s="32"/>
    </row>
    <row r="22" ht="16" customHeight="1" spans="1:10">
      <c r="A22" s="46" t="s">
        <v>41</v>
      </c>
      <c r="B22" s="47">
        <v>774452333.36</v>
      </c>
      <c r="C22" s="47">
        <v>744763656.43</v>
      </c>
      <c r="D22" s="46" t="s">
        <v>42</v>
      </c>
      <c r="E22" s="48">
        <v>807786.83</v>
      </c>
      <c r="F22" s="48">
        <v>0</v>
      </c>
      <c r="G22"/>
      <c r="I22" s="32"/>
      <c r="J22" s="32"/>
    </row>
    <row r="23" ht="16" customHeight="1" spans="1:10">
      <c r="A23" s="46" t="s">
        <v>43</v>
      </c>
      <c r="B23" s="48">
        <v>6762669.6</v>
      </c>
      <c r="C23" s="48">
        <v>6878540</v>
      </c>
      <c r="D23" s="46" t="s">
        <v>44</v>
      </c>
      <c r="E23" s="48">
        <v>25919226.93</v>
      </c>
      <c r="F23" s="48">
        <v>0</v>
      </c>
      <c r="G23"/>
      <c r="I23" s="32"/>
      <c r="J23" s="32"/>
    </row>
    <row r="24" ht="16" customHeight="1" spans="1:10">
      <c r="A24" s="46" t="s">
        <v>45</v>
      </c>
      <c r="B24" s="48">
        <v>0</v>
      </c>
      <c r="C24" s="48">
        <v>0</v>
      </c>
      <c r="D24" s="46" t="s">
        <v>46</v>
      </c>
      <c r="E24" s="49">
        <v>123395817.31</v>
      </c>
      <c r="F24" s="50">
        <f>SUM(F18:F23)</f>
        <v>99944800</v>
      </c>
      <c r="I24" s="32"/>
      <c r="J24" s="32"/>
    </row>
    <row r="25" ht="16" customHeight="1" spans="1:10">
      <c r="A25" s="46" t="s">
        <v>47</v>
      </c>
      <c r="B25" s="48">
        <v>0</v>
      </c>
      <c r="C25" s="48">
        <v>0</v>
      </c>
      <c r="D25" s="46" t="s">
        <v>48</v>
      </c>
      <c r="E25" s="49">
        <v>464637274.17</v>
      </c>
      <c r="F25" s="50">
        <f>F16+F24</f>
        <v>374257774.37</v>
      </c>
      <c r="I25" s="32"/>
      <c r="J25" s="32"/>
    </row>
    <row r="26" ht="16" customHeight="1" spans="1:10">
      <c r="A26" s="46" t="s">
        <v>49</v>
      </c>
      <c r="B26" s="48">
        <v>0</v>
      </c>
      <c r="C26" s="48">
        <v>0</v>
      </c>
      <c r="D26" s="46" t="s">
        <v>50</v>
      </c>
      <c r="E26" s="48">
        <v>0</v>
      </c>
      <c r="F26" s="48">
        <v>0</v>
      </c>
      <c r="G26"/>
      <c r="I26" s="32"/>
      <c r="J26" s="32"/>
    </row>
    <row r="27" ht="16" customHeight="1" spans="1:10">
      <c r="A27" s="46" t="s">
        <v>51</v>
      </c>
      <c r="B27" s="48">
        <v>0</v>
      </c>
      <c r="C27" s="48">
        <v>0</v>
      </c>
      <c r="D27" s="46" t="s">
        <v>52</v>
      </c>
      <c r="E27" s="48">
        <v>50000000</v>
      </c>
      <c r="F27" s="48">
        <v>50000000</v>
      </c>
      <c r="G27"/>
      <c r="I27" s="32"/>
      <c r="J27" s="32"/>
    </row>
    <row r="28" ht="16" customHeight="1" spans="1:10">
      <c r="A28" s="46" t="s">
        <v>53</v>
      </c>
      <c r="B28" s="48">
        <v>8371332.85</v>
      </c>
      <c r="C28" s="48">
        <v>7811176.29</v>
      </c>
      <c r="D28" s="46" t="s">
        <v>54</v>
      </c>
      <c r="E28" s="48">
        <v>0</v>
      </c>
      <c r="F28" s="48">
        <v>0</v>
      </c>
      <c r="G28"/>
      <c r="I28" s="32"/>
      <c r="J28" s="32"/>
    </row>
    <row r="29" ht="16" customHeight="1" spans="1:10">
      <c r="A29" s="46" t="s">
        <v>55</v>
      </c>
      <c r="B29" s="48">
        <v>0</v>
      </c>
      <c r="C29" s="48">
        <v>0</v>
      </c>
      <c r="D29" s="46" t="s">
        <v>56</v>
      </c>
      <c r="E29" s="48">
        <v>588033411.27</v>
      </c>
      <c r="F29" s="48">
        <v>588033411.27</v>
      </c>
      <c r="G29"/>
      <c r="I29" s="32"/>
      <c r="J29" s="32"/>
    </row>
    <row r="30" ht="16" customHeight="1" spans="1:10">
      <c r="A30" s="46" t="s">
        <v>57</v>
      </c>
      <c r="B30" s="48">
        <v>0</v>
      </c>
      <c r="C30" s="48">
        <v>0</v>
      </c>
      <c r="D30" s="46" t="s">
        <v>58</v>
      </c>
      <c r="E30" s="48">
        <v>0</v>
      </c>
      <c r="F30" s="48">
        <v>0</v>
      </c>
      <c r="G30"/>
      <c r="I30" s="32"/>
      <c r="J30" s="32"/>
    </row>
    <row r="31" ht="16" customHeight="1" spans="1:10">
      <c r="A31" s="46" t="s">
        <v>59</v>
      </c>
      <c r="B31" s="47">
        <v>229794691.81</v>
      </c>
      <c r="C31" s="47">
        <v>185162196.94</v>
      </c>
      <c r="D31" s="46" t="s">
        <v>60</v>
      </c>
      <c r="E31" s="48">
        <v>0</v>
      </c>
      <c r="F31" s="48">
        <v>0</v>
      </c>
      <c r="G31"/>
      <c r="I31" s="32"/>
      <c r="J31" s="32"/>
    </row>
    <row r="32" ht="16" customHeight="1" spans="1:10">
      <c r="A32" s="46" t="s">
        <v>61</v>
      </c>
      <c r="B32" s="48">
        <v>133693.97</v>
      </c>
      <c r="C32" s="48">
        <v>0</v>
      </c>
      <c r="D32" s="46" t="s">
        <v>62</v>
      </c>
      <c r="E32" s="48">
        <v>469127.58</v>
      </c>
      <c r="F32" s="48">
        <v>469127.58</v>
      </c>
      <c r="G32"/>
      <c r="I32" s="32"/>
      <c r="J32" s="32"/>
    </row>
    <row r="33" ht="16" customHeight="1" spans="1:10">
      <c r="A33" s="46" t="s">
        <v>63</v>
      </c>
      <c r="B33" s="48">
        <v>39366039.3999999</v>
      </c>
      <c r="C33" s="48">
        <v>27466824.95</v>
      </c>
      <c r="D33" s="46" t="s">
        <v>64</v>
      </c>
      <c r="E33" s="48">
        <v>417336045.04</v>
      </c>
      <c r="F33" s="47">
        <v>439346813.42</v>
      </c>
      <c r="G33"/>
      <c r="I33" s="32"/>
      <c r="J33" s="32"/>
    </row>
    <row r="34" ht="16" customHeight="1" spans="1:10">
      <c r="A34" s="46" t="s">
        <v>65</v>
      </c>
      <c r="B34" s="49">
        <v>1075801710.99</v>
      </c>
      <c r="C34" s="50">
        <f>SUM(C17:C33)</f>
        <v>989003344.61</v>
      </c>
      <c r="D34" s="46" t="s">
        <v>66</v>
      </c>
      <c r="E34" s="49">
        <v>1055838583.89</v>
      </c>
      <c r="F34" s="50">
        <f>SUM(F27:F33)</f>
        <v>1077849352.27</v>
      </c>
      <c r="I34" s="32"/>
      <c r="J34" s="32"/>
    </row>
    <row r="35" ht="16" customHeight="1" spans="1:10">
      <c r="A35" s="46" t="s">
        <v>67</v>
      </c>
      <c r="B35" s="49">
        <v>1520475858.06</v>
      </c>
      <c r="C35" s="50">
        <f>C15+C34</f>
        <v>1452107126.64</v>
      </c>
      <c r="D35" s="46" t="s">
        <v>68</v>
      </c>
      <c r="E35" s="49">
        <v>1520475858.06</v>
      </c>
      <c r="F35" s="50">
        <f>F25+F34</f>
        <v>1452107126.64</v>
      </c>
      <c r="I35" s="32"/>
      <c r="J35" s="32"/>
    </row>
    <row r="37" spans="5:6">
      <c r="E37" s="51"/>
      <c r="F37" s="51"/>
    </row>
  </sheetData>
  <mergeCells count="1">
    <mergeCell ref="A1:F1"/>
  </mergeCells>
  <pageMargins left="0.393055555555556" right="0.393055555555556" top="0.118055555555556" bottom="0.156944444444444" header="0.196527777777778" footer="0.196527777777778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3"/>
  <sheetViews>
    <sheetView workbookViewId="0">
      <selection activeCell="B10" sqref="B10"/>
    </sheetView>
  </sheetViews>
  <sheetFormatPr defaultColWidth="9" defaultRowHeight="24.95" customHeight="1" outlineLevelCol="6"/>
  <cols>
    <col min="1" max="1" width="44.5044247787611" customWidth="1"/>
    <col min="2" max="2" width="19.6283185840708" customWidth="1"/>
    <col min="3" max="3" width="20.6283185840708" customWidth="1"/>
    <col min="4" max="4" width="20.1858407079646" style="32" customWidth="1"/>
    <col min="5" max="5" width="21.3716814159292" style="32" customWidth="1"/>
    <col min="6" max="6" width="21.3716814159292" customWidth="1"/>
    <col min="7" max="7" width="18.2743362831858" customWidth="1"/>
  </cols>
  <sheetData>
    <row r="1" ht="26" customHeight="1" spans="1:3">
      <c r="A1" s="35" t="s">
        <v>69</v>
      </c>
      <c r="B1" s="35"/>
      <c r="C1" s="35"/>
    </row>
    <row r="2" customHeight="1" spans="1:3">
      <c r="A2" s="27" t="s">
        <v>1</v>
      </c>
      <c r="B2" s="27"/>
      <c r="C2" s="27"/>
    </row>
    <row r="3" customHeight="1" spans="1:3">
      <c r="A3" s="36"/>
      <c r="B3" s="28" t="s">
        <v>70</v>
      </c>
      <c r="C3" s="28" t="s">
        <v>71</v>
      </c>
    </row>
    <row r="4" customHeight="1" spans="1:3">
      <c r="A4" s="36"/>
      <c r="B4" s="37" t="s">
        <v>72</v>
      </c>
      <c r="C4" s="37" t="s">
        <v>73</v>
      </c>
    </row>
    <row r="5" customHeight="1" spans="1:7">
      <c r="A5" s="29" t="s">
        <v>74</v>
      </c>
      <c r="B5" s="38">
        <v>894526988.45</v>
      </c>
      <c r="C5" s="38">
        <v>202585510.18</v>
      </c>
      <c r="D5" s="32"/>
      <c r="E5" s="32"/>
      <c r="F5" s="32"/>
      <c r="G5" s="32"/>
    </row>
    <row r="6" customHeight="1" spans="1:7">
      <c r="A6" s="29" t="s">
        <v>75</v>
      </c>
      <c r="B6" s="38">
        <v>628740522.82</v>
      </c>
      <c r="C6" s="38">
        <v>142952892.53</v>
      </c>
      <c r="D6" s="32"/>
      <c r="E6" s="32"/>
      <c r="F6" s="32"/>
      <c r="G6" s="32"/>
    </row>
    <row r="7" customHeight="1" spans="1:7">
      <c r="A7" s="29" t="s">
        <v>76</v>
      </c>
      <c r="B7" s="38">
        <v>2121851.99</v>
      </c>
      <c r="C7" s="38">
        <v>224012.2</v>
      </c>
      <c r="D7" s="32"/>
      <c r="E7" s="32"/>
      <c r="F7" s="32"/>
      <c r="G7" s="32"/>
    </row>
    <row r="8" customHeight="1" spans="1:7">
      <c r="A8" s="29" t="s">
        <v>77</v>
      </c>
      <c r="B8" s="38">
        <v>155011142.29</v>
      </c>
      <c r="C8" s="38">
        <v>35939292.42</v>
      </c>
      <c r="D8" s="32"/>
      <c r="E8" s="32"/>
      <c r="F8" s="32"/>
      <c r="G8" s="32"/>
    </row>
    <row r="9" customHeight="1" spans="1:7">
      <c r="A9" s="29" t="s">
        <v>78</v>
      </c>
      <c r="B9" s="38">
        <v>59447151.85</v>
      </c>
      <c r="C9" s="38">
        <v>11405391.02</v>
      </c>
      <c r="D9" s="32"/>
      <c r="E9" s="32"/>
      <c r="F9" s="32"/>
      <c r="G9" s="32"/>
    </row>
    <row r="10" customHeight="1" spans="1:7">
      <c r="A10" s="29" t="s">
        <v>79</v>
      </c>
      <c r="B10" s="38">
        <v>24926825.76</v>
      </c>
      <c r="C10" s="38">
        <v>6247010.12</v>
      </c>
      <c r="D10" s="32"/>
      <c r="E10" s="32"/>
      <c r="F10" s="32"/>
      <c r="G10" s="32"/>
    </row>
    <row r="11" customHeight="1" spans="1:7">
      <c r="A11" s="29" t="s">
        <v>80</v>
      </c>
      <c r="B11" s="38">
        <v>0</v>
      </c>
      <c r="C11" s="39">
        <v>0</v>
      </c>
      <c r="D11" s="32"/>
      <c r="E11" s="32"/>
      <c r="F11" s="32"/>
      <c r="G11" s="32"/>
    </row>
    <row r="12" customHeight="1" spans="1:7">
      <c r="A12" s="29" t="s">
        <v>81</v>
      </c>
      <c r="B12" s="39">
        <v>0</v>
      </c>
      <c r="C12" s="39">
        <v>0</v>
      </c>
      <c r="D12" s="32"/>
      <c r="E12" s="32"/>
      <c r="F12" s="32"/>
      <c r="G12" s="32"/>
    </row>
    <row r="13" customHeight="1" spans="1:7">
      <c r="A13" s="29" t="s">
        <v>82</v>
      </c>
      <c r="B13" s="39">
        <v>10184.34</v>
      </c>
      <c r="C13" s="39">
        <v>10184.34</v>
      </c>
      <c r="D13" s="32"/>
      <c r="E13" s="32"/>
      <c r="F13" s="32"/>
      <c r="G13" s="32"/>
    </row>
    <row r="14" customHeight="1" spans="1:7">
      <c r="A14" s="29" t="s">
        <v>83</v>
      </c>
      <c r="B14" s="39">
        <v>0</v>
      </c>
      <c r="C14" s="39">
        <v>0</v>
      </c>
      <c r="D14" s="32"/>
      <c r="E14" s="32"/>
      <c r="F14" s="32"/>
      <c r="G14" s="32"/>
    </row>
    <row r="15" customHeight="1" spans="1:7">
      <c r="A15" s="29" t="s">
        <v>84</v>
      </c>
      <c r="B15" s="39">
        <v>0</v>
      </c>
      <c r="C15" s="39">
        <v>0</v>
      </c>
      <c r="D15" s="32"/>
      <c r="E15" s="32"/>
      <c r="F15" s="32"/>
      <c r="G15" s="32"/>
    </row>
    <row r="16" customHeight="1" spans="1:7">
      <c r="A16" s="29" t="s">
        <v>85</v>
      </c>
      <c r="B16" s="40">
        <f>B5-B6-B7-B8-B9-B10-B11+B12+B13+B15</f>
        <v>24289678.08</v>
      </c>
      <c r="C16" s="40">
        <f>C5-C6-C7-C8-C9-C10-C11+C12+C13+C15</f>
        <v>5827096.23</v>
      </c>
      <c r="F16" s="32"/>
      <c r="G16" s="32"/>
    </row>
    <row r="17" customHeight="1" spans="1:7">
      <c r="A17" s="29" t="s">
        <v>86</v>
      </c>
      <c r="B17" s="38">
        <v>1204598.25</v>
      </c>
      <c r="C17" s="38">
        <v>213567.73</v>
      </c>
      <c r="D17" s="32"/>
      <c r="E17" s="32"/>
      <c r="F17" s="32"/>
      <c r="G17" s="32"/>
    </row>
    <row r="18" customHeight="1" spans="1:7">
      <c r="A18" s="29" t="s">
        <v>87</v>
      </c>
      <c r="B18" s="38">
        <v>0</v>
      </c>
      <c r="C18" s="38">
        <v>0</v>
      </c>
      <c r="D18" s="32"/>
      <c r="E18" s="32"/>
      <c r="F18" s="32"/>
      <c r="G18" s="32"/>
    </row>
    <row r="19" customHeight="1" spans="1:7">
      <c r="A19" s="29" t="s">
        <v>88</v>
      </c>
      <c r="B19" s="38">
        <v>1110277.22</v>
      </c>
      <c r="C19" s="38">
        <v>95528.48</v>
      </c>
      <c r="D19" s="32"/>
      <c r="E19" s="32"/>
      <c r="F19" s="32"/>
      <c r="G19" s="32"/>
    </row>
    <row r="20" customHeight="1" spans="1:7">
      <c r="A20" s="29" t="s">
        <v>89</v>
      </c>
      <c r="B20" s="38">
        <v>0</v>
      </c>
      <c r="C20" s="38">
        <v>0</v>
      </c>
      <c r="D20" s="32"/>
      <c r="E20" s="32"/>
      <c r="F20" s="32"/>
      <c r="G20" s="32"/>
    </row>
    <row r="21" customHeight="1" spans="1:7">
      <c r="A21" s="29" t="s">
        <v>90</v>
      </c>
      <c r="B21" s="33">
        <f>B16+B17-B19</f>
        <v>24383999.11</v>
      </c>
      <c r="C21" s="33">
        <f>C16+C17-C19</f>
        <v>5945135.48</v>
      </c>
      <c r="F21" s="32"/>
      <c r="G21" s="32"/>
    </row>
    <row r="22" customHeight="1" spans="1:7">
      <c r="A22" s="29" t="s">
        <v>91</v>
      </c>
      <c r="B22" s="38">
        <v>2373230.73</v>
      </c>
      <c r="C22" s="38">
        <v>1217121.01</v>
      </c>
      <c r="D22" s="32"/>
      <c r="E22" s="32"/>
      <c r="F22" s="32"/>
      <c r="G22" s="32"/>
    </row>
    <row r="23" customHeight="1" spans="1:7">
      <c r="A23" s="29" t="s">
        <v>92</v>
      </c>
      <c r="B23" s="33">
        <f>B21-B22</f>
        <v>22010768.38</v>
      </c>
      <c r="C23" s="33">
        <f>C21-C22</f>
        <v>4728014.47</v>
      </c>
      <c r="F23" s="32"/>
      <c r="G23" s="32"/>
    </row>
  </sheetData>
  <mergeCells count="2">
    <mergeCell ref="A1:C1"/>
    <mergeCell ref="A2:C2"/>
  </mergeCells>
  <pageMargins left="0.747916666666667" right="0.5118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tabSelected="1" workbookViewId="0">
      <selection activeCell="C15" sqref="C15"/>
    </sheetView>
  </sheetViews>
  <sheetFormatPr defaultColWidth="15.7522123893805" defaultRowHeight="21.95" customHeight="1" outlineLevelCol="6"/>
  <cols>
    <col min="1" max="1" width="47.5044247787611" customWidth="1"/>
    <col min="2" max="2" width="20.7522123893805" style="24" customWidth="1"/>
    <col min="3" max="3" width="20.5044247787611" style="24" customWidth="1"/>
    <col min="5" max="6" width="21.3716814159292" customWidth="1"/>
    <col min="7" max="7" width="17.3628318584071"/>
  </cols>
  <sheetData>
    <row r="1" customHeight="1" spans="1:3">
      <c r="A1" s="25" t="s">
        <v>93</v>
      </c>
      <c r="B1" s="26"/>
      <c r="C1" s="26"/>
    </row>
    <row r="2" ht="18.95" customHeight="1" spans="1:3">
      <c r="A2" s="27" t="s">
        <v>1</v>
      </c>
      <c r="B2" s="28" t="s">
        <v>70</v>
      </c>
      <c r="C2" s="28" t="s">
        <v>71</v>
      </c>
    </row>
    <row r="3" ht="18.95" customHeight="1" spans="1:3">
      <c r="A3" s="29" t="s">
        <v>94</v>
      </c>
      <c r="B3" s="30" t="s">
        <v>72</v>
      </c>
      <c r="C3" s="30" t="s">
        <v>73</v>
      </c>
    </row>
    <row r="4" ht="18.95" customHeight="1" spans="1:7">
      <c r="A4" s="29" t="s">
        <v>95</v>
      </c>
      <c r="B4" s="31">
        <v>1025728035.51</v>
      </c>
      <c r="C4" s="31">
        <v>219373921.45</v>
      </c>
      <c r="D4"/>
      <c r="E4"/>
      <c r="F4" s="32"/>
      <c r="G4" s="32"/>
    </row>
    <row r="5" ht="18.95" customHeight="1" spans="1:7">
      <c r="A5" s="29" t="s">
        <v>96</v>
      </c>
      <c r="B5" s="31">
        <v>0</v>
      </c>
      <c r="C5" s="31">
        <v>0</v>
      </c>
      <c r="D5"/>
      <c r="E5"/>
      <c r="F5" s="32"/>
      <c r="G5" s="32"/>
    </row>
    <row r="6" ht="18.95" customHeight="1" spans="1:7">
      <c r="A6" s="29" t="s">
        <v>97</v>
      </c>
      <c r="B6" s="31">
        <v>52900866.49</v>
      </c>
      <c r="C6" s="31">
        <v>11902567.81</v>
      </c>
      <c r="D6"/>
      <c r="E6"/>
      <c r="F6" s="32"/>
      <c r="G6" s="32"/>
    </row>
    <row r="7" ht="18.95" customHeight="1" spans="1:7">
      <c r="A7" s="29" t="s">
        <v>98</v>
      </c>
      <c r="B7" s="33">
        <f>SUM(B4:B6)</f>
        <v>1078628902</v>
      </c>
      <c r="C7" s="33">
        <f>SUM(C4:C6)</f>
        <v>231276489.26</v>
      </c>
      <c r="F7" s="32"/>
      <c r="G7" s="32"/>
    </row>
    <row r="8" ht="18.95" customHeight="1" spans="1:7">
      <c r="A8" s="29" t="s">
        <v>99</v>
      </c>
      <c r="B8" s="31">
        <v>677868478.39</v>
      </c>
      <c r="C8" s="31">
        <v>170044200.73</v>
      </c>
      <c r="D8"/>
      <c r="E8"/>
      <c r="F8" s="32"/>
      <c r="G8" s="32"/>
    </row>
    <row r="9" ht="18.95" customHeight="1" spans="1:7">
      <c r="A9" s="29" t="s">
        <v>100</v>
      </c>
      <c r="B9" s="31">
        <v>153549997.11</v>
      </c>
      <c r="C9" s="31">
        <v>23687299.02</v>
      </c>
      <c r="D9"/>
      <c r="E9"/>
      <c r="F9" s="32"/>
      <c r="G9" s="32"/>
    </row>
    <row r="10" ht="18.95" customHeight="1" spans="1:7">
      <c r="A10" s="29" t="s">
        <v>101</v>
      </c>
      <c r="B10" s="31">
        <v>7983054.84</v>
      </c>
      <c r="C10" s="31">
        <v>2481887.08</v>
      </c>
      <c r="D10"/>
      <c r="E10"/>
      <c r="F10" s="32"/>
      <c r="G10" s="32"/>
    </row>
    <row r="11" ht="18.95" customHeight="1" spans="1:7">
      <c r="A11" s="29" t="s">
        <v>102</v>
      </c>
      <c r="B11" s="31">
        <v>183614058.21</v>
      </c>
      <c r="C11" s="31">
        <v>34065966.08</v>
      </c>
      <c r="D11"/>
      <c r="E11"/>
      <c r="F11" s="32"/>
      <c r="G11" s="32"/>
    </row>
    <row r="12" ht="18.95" customHeight="1" spans="1:7">
      <c r="A12" s="29" t="s">
        <v>103</v>
      </c>
      <c r="B12" s="33">
        <f>SUM(B8:B11)</f>
        <v>1023015588.55</v>
      </c>
      <c r="C12" s="33">
        <f>SUM(C8:C11)</f>
        <v>230279352.91</v>
      </c>
      <c r="F12" s="32"/>
      <c r="G12" s="32"/>
    </row>
    <row r="13" ht="18.95" customHeight="1" spans="1:7">
      <c r="A13" s="29" t="s">
        <v>104</v>
      </c>
      <c r="B13" s="33">
        <f>B7-B12</f>
        <v>55613313.4499999</v>
      </c>
      <c r="C13" s="33">
        <f>C7-C12</f>
        <v>997136.349999964</v>
      </c>
      <c r="F13" s="32"/>
      <c r="G13" s="32"/>
    </row>
    <row r="14" ht="18.95" customHeight="1" spans="1:7">
      <c r="A14" s="29" t="s">
        <v>105</v>
      </c>
      <c r="B14" s="34">
        <v>0</v>
      </c>
      <c r="C14" s="34">
        <v>0</v>
      </c>
      <c r="D14"/>
      <c r="E14"/>
      <c r="F14" s="32"/>
      <c r="G14" s="32"/>
    </row>
    <row r="15" ht="18.95" customHeight="1" spans="1:7">
      <c r="A15" s="29" t="s">
        <v>106</v>
      </c>
      <c r="B15" s="34">
        <v>0</v>
      </c>
      <c r="C15" s="34">
        <v>0</v>
      </c>
      <c r="D15"/>
      <c r="E15"/>
      <c r="F15" s="32"/>
      <c r="G15" s="32"/>
    </row>
    <row r="16" ht="18.95" customHeight="1" spans="1:7">
      <c r="A16" s="29" t="s">
        <v>107</v>
      </c>
      <c r="B16" s="34">
        <v>10184.34</v>
      </c>
      <c r="C16" s="34">
        <v>10184.34</v>
      </c>
      <c r="D16"/>
      <c r="E16"/>
      <c r="F16" s="32"/>
      <c r="G16" s="32"/>
    </row>
    <row r="17" ht="18.95" customHeight="1" spans="1:7">
      <c r="A17" s="29" t="s">
        <v>108</v>
      </c>
      <c r="B17" s="34">
        <v>5000</v>
      </c>
      <c r="C17" s="34">
        <v>0</v>
      </c>
      <c r="D17"/>
      <c r="E17"/>
      <c r="F17" s="32"/>
      <c r="G17" s="32"/>
    </row>
    <row r="18" ht="18.95" customHeight="1" spans="1:7">
      <c r="A18" s="29" t="s">
        <v>109</v>
      </c>
      <c r="B18" s="34">
        <v>0</v>
      </c>
      <c r="C18" s="34">
        <v>0</v>
      </c>
      <c r="D18"/>
      <c r="E18"/>
      <c r="F18" s="32"/>
      <c r="G18" s="32"/>
    </row>
    <row r="19" ht="18.95" customHeight="1" spans="1:7">
      <c r="A19" s="29" t="s">
        <v>110</v>
      </c>
      <c r="B19" s="33">
        <f>SUM(B16:B18)</f>
        <v>15184.34</v>
      </c>
      <c r="C19" s="33">
        <f>SUM(C16:C18)</f>
        <v>10184.34</v>
      </c>
      <c r="F19" s="32"/>
      <c r="G19" s="32"/>
    </row>
    <row r="20" ht="18.95" customHeight="1" spans="1:7">
      <c r="A20" s="29" t="s">
        <v>111</v>
      </c>
      <c r="B20" s="34">
        <v>16324915.63</v>
      </c>
      <c r="C20" s="34">
        <v>0</v>
      </c>
      <c r="D20"/>
      <c r="E20"/>
      <c r="F20" s="32"/>
      <c r="G20" s="32"/>
    </row>
    <row r="21" ht="18.95" customHeight="1" spans="1:7">
      <c r="A21" s="29" t="s">
        <v>112</v>
      </c>
      <c r="B21" s="34">
        <v>0</v>
      </c>
      <c r="C21" s="34">
        <v>0</v>
      </c>
      <c r="D21"/>
      <c r="E21"/>
      <c r="F21" s="32"/>
      <c r="G21" s="32"/>
    </row>
    <row r="22" ht="18.95" customHeight="1" spans="1:7">
      <c r="A22" s="29" t="s">
        <v>113</v>
      </c>
      <c r="B22" s="34">
        <v>5214894.48</v>
      </c>
      <c r="C22" s="34">
        <v>0</v>
      </c>
      <c r="D22"/>
      <c r="E22"/>
      <c r="F22" s="32"/>
      <c r="G22" s="32"/>
    </row>
    <row r="23" ht="18.95" customHeight="1" spans="1:7">
      <c r="A23" s="29" t="s">
        <v>114</v>
      </c>
      <c r="B23" s="34">
        <v>0</v>
      </c>
      <c r="C23" s="34">
        <v>0</v>
      </c>
      <c r="D23"/>
      <c r="E23"/>
      <c r="F23" s="32"/>
      <c r="G23" s="32"/>
    </row>
    <row r="24" ht="18.95" customHeight="1" spans="1:7">
      <c r="A24" s="29" t="s">
        <v>115</v>
      </c>
      <c r="B24" s="33">
        <f>SUM(B20:B23)</f>
        <v>21539810.11</v>
      </c>
      <c r="C24" s="33">
        <f>SUM(C20:C23)</f>
        <v>0</v>
      </c>
      <c r="F24" s="32"/>
      <c r="G24" s="32"/>
    </row>
    <row r="25" ht="18.95" customHeight="1" spans="1:7">
      <c r="A25" s="29" t="s">
        <v>116</v>
      </c>
      <c r="B25" s="33">
        <f>B19-B24</f>
        <v>-21524625.77</v>
      </c>
      <c r="C25" s="33">
        <f>C19-C24</f>
        <v>10184.34</v>
      </c>
      <c r="F25" s="32"/>
      <c r="G25" s="32"/>
    </row>
    <row r="26" ht="18.95" customHeight="1" spans="1:7">
      <c r="A26" s="29" t="s">
        <v>117</v>
      </c>
      <c r="B26" s="34">
        <v>0</v>
      </c>
      <c r="C26" s="34">
        <v>0</v>
      </c>
      <c r="D26"/>
      <c r="E26"/>
      <c r="F26" s="32"/>
      <c r="G26" s="32"/>
    </row>
    <row r="27" ht="18.95" customHeight="1" spans="1:7">
      <c r="A27" s="29" t="s">
        <v>118</v>
      </c>
      <c r="B27" s="34">
        <v>3094200</v>
      </c>
      <c r="C27" s="34">
        <v>0</v>
      </c>
      <c r="D27"/>
      <c r="E27"/>
      <c r="F27" s="32"/>
      <c r="G27" s="32"/>
    </row>
    <row r="28" ht="18.95" customHeight="1" spans="1:7">
      <c r="A28" s="29" t="s">
        <v>119</v>
      </c>
      <c r="B28" s="34">
        <v>206410000</v>
      </c>
      <c r="C28" s="34">
        <v>55940000</v>
      </c>
      <c r="D28"/>
      <c r="E28"/>
      <c r="F28" s="32"/>
      <c r="G28" s="32"/>
    </row>
    <row r="29" ht="18.95" customHeight="1" spans="1:7">
      <c r="A29" s="29" t="s">
        <v>120</v>
      </c>
      <c r="B29" s="34">
        <v>6681473.29</v>
      </c>
      <c r="C29" s="34">
        <v>2</v>
      </c>
      <c r="D29"/>
      <c r="E29"/>
      <c r="F29" s="32"/>
      <c r="G29" s="32"/>
    </row>
    <row r="30" ht="18.95" customHeight="1" spans="1:7">
      <c r="A30" s="29" t="s">
        <v>121</v>
      </c>
      <c r="B30" s="33">
        <f>SUM(B27:B29)</f>
        <v>216185673.29</v>
      </c>
      <c r="C30" s="33">
        <f>SUM(C27:C29)</f>
        <v>55940002</v>
      </c>
      <c r="F30" s="32"/>
      <c r="G30" s="32"/>
    </row>
    <row r="31" ht="18.95" customHeight="1" spans="1:7">
      <c r="A31" s="29" t="s">
        <v>122</v>
      </c>
      <c r="B31" s="31">
        <v>223906144.32</v>
      </c>
      <c r="C31" s="31">
        <v>53230000</v>
      </c>
      <c r="D31"/>
      <c r="E31"/>
      <c r="F31" s="32"/>
      <c r="G31" s="32"/>
    </row>
    <row r="32" ht="18.95" customHeight="1" spans="1:7">
      <c r="A32" s="29" t="s">
        <v>123</v>
      </c>
      <c r="B32" s="31">
        <v>17148851.71</v>
      </c>
      <c r="C32" s="31">
        <v>4312372.78</v>
      </c>
      <c r="D32"/>
      <c r="E32"/>
      <c r="F32" s="32"/>
      <c r="G32" s="32"/>
    </row>
    <row r="33" ht="18.95" customHeight="1" spans="1:7">
      <c r="A33" s="29" t="s">
        <v>124</v>
      </c>
      <c r="B33" s="34">
        <v>13118660</v>
      </c>
      <c r="C33" s="34">
        <v>0</v>
      </c>
      <c r="D33"/>
      <c r="E33"/>
      <c r="F33" s="32"/>
      <c r="G33" s="32"/>
    </row>
    <row r="34" ht="18.95" customHeight="1" spans="1:7">
      <c r="A34" s="29" t="s">
        <v>125</v>
      </c>
      <c r="B34" s="33">
        <f>SUM(B31:B33)</f>
        <v>254173656.03</v>
      </c>
      <c r="C34" s="33">
        <f>SUM(C31:C33)</f>
        <v>57542372.78</v>
      </c>
      <c r="F34" s="32"/>
      <c r="G34" s="32"/>
    </row>
    <row r="35" ht="18.95" customHeight="1" spans="1:7">
      <c r="A35" s="29" t="s">
        <v>126</v>
      </c>
      <c r="B35" s="33">
        <f>B30-B34</f>
        <v>-37987982.74</v>
      </c>
      <c r="C35" s="33">
        <f>C30-C34</f>
        <v>-1602370.78</v>
      </c>
      <c r="F35" s="32"/>
      <c r="G35" s="32"/>
    </row>
    <row r="36" ht="18.95" customHeight="1" spans="1:7">
      <c r="A36" s="29" t="s">
        <v>127</v>
      </c>
      <c r="B36" s="34">
        <v>0</v>
      </c>
      <c r="C36" s="34">
        <v>0</v>
      </c>
      <c r="D36"/>
      <c r="E36"/>
      <c r="F36" s="32"/>
      <c r="G36" s="32"/>
    </row>
    <row r="37" ht="18.95" customHeight="1" spans="1:7">
      <c r="A37" s="29" t="s">
        <v>128</v>
      </c>
      <c r="B37" s="33">
        <f>B13+B25+B35</f>
        <v>-3899295.06000008</v>
      </c>
      <c r="C37" s="33">
        <f>C13+C25+C35</f>
        <v>-595050.090000037</v>
      </c>
      <c r="F37" s="32"/>
      <c r="G37" s="32"/>
    </row>
    <row r="38" ht="18.95" customHeight="1" spans="1:7">
      <c r="A38" s="29" t="s">
        <v>129</v>
      </c>
      <c r="B38" s="34">
        <v>23611861.57</v>
      </c>
      <c r="C38" s="34">
        <v>20307616.6</v>
      </c>
      <c r="D38"/>
      <c r="E38"/>
      <c r="F38" s="32"/>
      <c r="G38" s="32"/>
    </row>
    <row r="39" ht="18.95" customHeight="1" spans="1:7">
      <c r="A39" s="29" t="s">
        <v>130</v>
      </c>
      <c r="B39" s="33">
        <f>B37+B38</f>
        <v>19712566.5099999</v>
      </c>
      <c r="C39" s="33">
        <f>C37+C38</f>
        <v>19712566.51</v>
      </c>
      <c r="F39" s="32"/>
      <c r="G39" s="32"/>
    </row>
  </sheetData>
  <mergeCells count="1">
    <mergeCell ref="A1:C1"/>
  </mergeCells>
  <pageMargins left="0.432638888888889" right="0.25" top="0.432638888888889" bottom="0.75" header="0.298611111111111" footer="0.29861111111111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4"/>
  <sheetViews>
    <sheetView topLeftCell="A82" workbookViewId="0">
      <selection activeCell="E104" sqref="E104"/>
    </sheetView>
  </sheetViews>
  <sheetFormatPr defaultColWidth="8.72566371681416" defaultRowHeight="16" customHeight="1" outlineLevelCol="2"/>
  <cols>
    <col min="1" max="1" width="12.0176991150442" style="1" customWidth="1"/>
    <col min="2" max="2" width="33.1238938053097" style="2" customWidth="1"/>
    <col min="3" max="3" width="17.1238938053097" style="2"/>
    <col min="4" max="16384" width="8.72566371681416" style="2"/>
  </cols>
  <sheetData>
    <row r="1" customHeight="1" spans="1:1">
      <c r="A1" s="1" t="s">
        <v>131</v>
      </c>
    </row>
    <row r="2" customHeight="1" spans="1:3">
      <c r="A2" s="3"/>
      <c r="B2" s="4"/>
      <c r="C2" s="5" t="s">
        <v>71</v>
      </c>
    </row>
    <row r="3" customHeight="1" spans="1:3">
      <c r="A3" s="3"/>
      <c r="B3" s="6" t="s">
        <v>4</v>
      </c>
      <c r="C3" s="7">
        <v>19712566.51</v>
      </c>
    </row>
    <row r="4" customHeight="1" spans="1:3">
      <c r="A4" s="3"/>
      <c r="B4" s="8" t="s">
        <v>132</v>
      </c>
      <c r="C4" s="7">
        <v>362665.25</v>
      </c>
    </row>
    <row r="5" customHeight="1" spans="1:3">
      <c r="A5" s="3"/>
      <c r="B5" s="8" t="s">
        <v>133</v>
      </c>
      <c r="C5" s="7">
        <v>19349901.26</v>
      </c>
    </row>
    <row r="6" customHeight="1" spans="1:3">
      <c r="A6" s="9"/>
      <c r="B6" s="10"/>
      <c r="C6" s="11"/>
    </row>
    <row r="7" customHeight="1" spans="1:3">
      <c r="A7" s="3"/>
      <c r="B7" s="4"/>
      <c r="C7" s="5" t="s">
        <v>71</v>
      </c>
    </row>
    <row r="8" customHeight="1" spans="1:3">
      <c r="A8" s="3"/>
      <c r="B8" s="6" t="s">
        <v>10</v>
      </c>
      <c r="C8" s="7">
        <v>43427690.6434941</v>
      </c>
    </row>
    <row r="9" customHeight="1" spans="1:3">
      <c r="A9" s="12" t="s">
        <v>134</v>
      </c>
      <c r="B9" s="13" t="s">
        <v>135</v>
      </c>
      <c r="C9" s="13">
        <v>17830</v>
      </c>
    </row>
    <row r="10" customHeight="1" spans="1:3">
      <c r="A10" s="12"/>
      <c r="B10" s="13" t="s">
        <v>136</v>
      </c>
      <c r="C10" s="13">
        <v>777800</v>
      </c>
    </row>
    <row r="11" customHeight="1" spans="1:3">
      <c r="A11" s="12"/>
      <c r="B11" s="13" t="s">
        <v>137</v>
      </c>
      <c r="C11" s="13">
        <v>579272.813494151</v>
      </c>
    </row>
    <row r="12" customHeight="1" spans="1:3">
      <c r="A12" s="12"/>
      <c r="B12" s="13" t="s">
        <v>138</v>
      </c>
      <c r="C12" s="13">
        <v>700000</v>
      </c>
    </row>
    <row r="13" customHeight="1" spans="1:3">
      <c r="A13" s="12"/>
      <c r="B13" s="13" t="s">
        <v>139</v>
      </c>
      <c r="C13" s="13">
        <v>15098.54</v>
      </c>
    </row>
    <row r="14" customHeight="1" spans="1:3">
      <c r="A14" s="12" t="s">
        <v>140</v>
      </c>
      <c r="B14" s="13" t="s">
        <v>141</v>
      </c>
      <c r="C14" s="13">
        <v>973157.62</v>
      </c>
    </row>
    <row r="15" customHeight="1" spans="1:3">
      <c r="A15" s="12"/>
      <c r="B15" s="13" t="s">
        <v>142</v>
      </c>
      <c r="C15" s="13">
        <v>696217.75</v>
      </c>
    </row>
    <row r="16" customHeight="1" spans="1:3">
      <c r="A16" s="12"/>
      <c r="B16" s="13" t="s">
        <v>143</v>
      </c>
      <c r="C16" s="13">
        <v>589410.16</v>
      </c>
    </row>
    <row r="17" customHeight="1" spans="1:3">
      <c r="A17" s="12"/>
      <c r="B17" s="13" t="s">
        <v>144</v>
      </c>
      <c r="C17" s="13">
        <v>695790.55</v>
      </c>
    </row>
    <row r="18" customHeight="1" spans="1:3">
      <c r="A18" s="12"/>
      <c r="B18" s="13" t="s">
        <v>145</v>
      </c>
      <c r="C18" s="13">
        <v>279632.85</v>
      </c>
    </row>
    <row r="19" customHeight="1" spans="1:3">
      <c r="A19" s="12"/>
      <c r="B19" s="13" t="s">
        <v>146</v>
      </c>
      <c r="C19" s="13">
        <v>191241</v>
      </c>
    </row>
    <row r="20" customHeight="1" spans="1:3">
      <c r="A20" s="12"/>
      <c r="B20" s="13" t="s">
        <v>147</v>
      </c>
      <c r="C20" s="13">
        <v>165748.51</v>
      </c>
    </row>
    <row r="21" customHeight="1" spans="1:3">
      <c r="A21" s="12"/>
      <c r="B21" s="13" t="s">
        <v>148</v>
      </c>
      <c r="C21" s="13">
        <v>-30.25</v>
      </c>
    </row>
    <row r="22" customHeight="1" spans="1:3">
      <c r="A22" s="12"/>
      <c r="B22" s="13" t="s">
        <v>149</v>
      </c>
      <c r="C22" s="13">
        <v>20175.44</v>
      </c>
    </row>
    <row r="23" customHeight="1" spans="1:3">
      <c r="A23" s="12"/>
      <c r="B23" s="13" t="s">
        <v>150</v>
      </c>
      <c r="C23" s="13">
        <v>-704.11</v>
      </c>
    </row>
    <row r="24" customHeight="1" spans="1:3">
      <c r="A24" s="12"/>
      <c r="B24" s="13" t="s">
        <v>136</v>
      </c>
      <c r="C24" s="13">
        <v>286798</v>
      </c>
    </row>
    <row r="25" customHeight="1" spans="1:3">
      <c r="A25" s="12"/>
      <c r="B25" s="13" t="s">
        <v>151</v>
      </c>
      <c r="C25" s="13">
        <v>530268.23</v>
      </c>
    </row>
    <row r="26" customHeight="1" spans="1:3">
      <c r="A26" s="12"/>
      <c r="B26" s="13" t="s">
        <v>152</v>
      </c>
      <c r="C26" s="13">
        <v>56352.8</v>
      </c>
    </row>
    <row r="27" customHeight="1" spans="1:3">
      <c r="A27" s="12"/>
      <c r="B27" s="13" t="s">
        <v>153</v>
      </c>
      <c r="C27" s="13">
        <v>198373.21</v>
      </c>
    </row>
    <row r="28" customHeight="1" spans="1:3">
      <c r="A28" s="12"/>
      <c r="B28" s="13" t="s">
        <v>154</v>
      </c>
      <c r="C28" s="13">
        <v>-272.12</v>
      </c>
    </row>
    <row r="29" customHeight="1" spans="1:3">
      <c r="A29" s="12"/>
      <c r="B29" s="13" t="s">
        <v>155</v>
      </c>
      <c r="C29" s="13">
        <v>157359.54</v>
      </c>
    </row>
    <row r="30" customHeight="1" spans="1:3">
      <c r="A30" s="12"/>
      <c r="B30" s="13" t="s">
        <v>156</v>
      </c>
      <c r="C30" s="13">
        <v>105796.48</v>
      </c>
    </row>
    <row r="31" customHeight="1" spans="1:3">
      <c r="A31" s="12"/>
      <c r="B31" s="13" t="s">
        <v>157</v>
      </c>
      <c r="C31" s="13">
        <v>51958.03</v>
      </c>
    </row>
    <row r="32" customHeight="1" spans="1:3">
      <c r="A32" s="12"/>
      <c r="B32" s="13" t="s">
        <v>158</v>
      </c>
      <c r="C32" s="13">
        <v>-202.75</v>
      </c>
    </row>
    <row r="33" customHeight="1" spans="1:3">
      <c r="A33" s="12"/>
      <c r="B33" s="13" t="s">
        <v>159</v>
      </c>
      <c r="C33" s="13">
        <v>117239.54</v>
      </c>
    </row>
    <row r="34" customHeight="1" spans="1:3">
      <c r="A34" s="12"/>
      <c r="B34" s="13" t="s">
        <v>160</v>
      </c>
      <c r="C34" s="13">
        <v>-2329.35</v>
      </c>
    </row>
    <row r="35" customHeight="1" spans="1:3">
      <c r="A35" s="12"/>
      <c r="B35" s="13" t="s">
        <v>161</v>
      </c>
      <c r="C35" s="13">
        <v>-52.08</v>
      </c>
    </row>
    <row r="36" customHeight="1" spans="1:3">
      <c r="A36" s="12"/>
      <c r="B36" s="13" t="s">
        <v>162</v>
      </c>
      <c r="C36" s="13">
        <v>573.3</v>
      </c>
    </row>
    <row r="37" customHeight="1" spans="1:3">
      <c r="A37" s="12"/>
      <c r="B37" s="13" t="s">
        <v>163</v>
      </c>
      <c r="C37" s="13">
        <v>-25</v>
      </c>
    </row>
    <row r="38" customHeight="1" spans="1:3">
      <c r="A38" s="12"/>
      <c r="B38" s="13" t="s">
        <v>164</v>
      </c>
      <c r="C38" s="13">
        <v>-227.89</v>
      </c>
    </row>
    <row r="39" customHeight="1" spans="1:3">
      <c r="A39" s="12"/>
      <c r="B39" s="13" t="s">
        <v>150</v>
      </c>
      <c r="C39" s="13">
        <v>-704.11</v>
      </c>
    </row>
    <row r="40" customHeight="1" spans="1:3">
      <c r="A40" s="12"/>
      <c r="B40" s="13" t="s">
        <v>165</v>
      </c>
      <c r="C40" s="13">
        <v>197435.54</v>
      </c>
    </row>
    <row r="41" customHeight="1" spans="1:3">
      <c r="A41" s="12"/>
      <c r="B41" s="13" t="s">
        <v>166</v>
      </c>
      <c r="C41" s="13">
        <v>61575.63</v>
      </c>
    </row>
    <row r="42" customHeight="1" spans="1:3">
      <c r="A42" s="12"/>
      <c r="B42" s="13" t="s">
        <v>167</v>
      </c>
      <c r="C42" s="13">
        <v>455688.6</v>
      </c>
    </row>
    <row r="43" customHeight="1" spans="1:3">
      <c r="A43" s="12" t="s">
        <v>168</v>
      </c>
      <c r="B43" s="13" t="s">
        <v>169</v>
      </c>
      <c r="C43" s="13">
        <v>2379566.62</v>
      </c>
    </row>
    <row r="44" customHeight="1" spans="1:3">
      <c r="A44" s="12"/>
      <c r="B44" s="13" t="s">
        <v>170</v>
      </c>
      <c r="C44" s="13">
        <v>3312615.6</v>
      </c>
    </row>
    <row r="45" customHeight="1" spans="1:3">
      <c r="A45" s="12"/>
      <c r="B45" s="13" t="s">
        <v>167</v>
      </c>
      <c r="C45" s="13">
        <v>2616902.85</v>
      </c>
    </row>
    <row r="46" customHeight="1" spans="1:3">
      <c r="A46" s="12"/>
      <c r="B46" s="13" t="s">
        <v>171</v>
      </c>
      <c r="C46" s="13">
        <v>805588.83</v>
      </c>
    </row>
    <row r="47" customHeight="1" spans="1:3">
      <c r="A47" s="12"/>
      <c r="B47" s="13" t="s">
        <v>172</v>
      </c>
      <c r="C47" s="13">
        <v>1935530.24</v>
      </c>
    </row>
    <row r="48" customHeight="1" spans="1:3">
      <c r="A48" s="12"/>
      <c r="B48" s="13" t="s">
        <v>173</v>
      </c>
      <c r="C48" s="13">
        <v>816955.51</v>
      </c>
    </row>
    <row r="49" customHeight="1" spans="1:3">
      <c r="A49" s="12"/>
      <c r="B49" s="13" t="s">
        <v>174</v>
      </c>
      <c r="C49" s="13">
        <v>2355530.24</v>
      </c>
    </row>
    <row r="50" customHeight="1" spans="1:3">
      <c r="A50" s="12"/>
      <c r="B50" s="13" t="s">
        <v>175</v>
      </c>
      <c r="C50" s="13">
        <v>79300</v>
      </c>
    </row>
    <row r="51" customHeight="1" spans="1:3">
      <c r="A51" s="12"/>
      <c r="B51" s="13" t="s">
        <v>176</v>
      </c>
      <c r="C51" s="13">
        <v>620719.51</v>
      </c>
    </row>
    <row r="52" customHeight="1" spans="1:3">
      <c r="A52" s="12"/>
      <c r="B52" s="13" t="s">
        <v>177</v>
      </c>
      <c r="C52" s="13">
        <v>137911.35</v>
      </c>
    </row>
    <row r="53" customHeight="1" spans="1:3">
      <c r="A53" s="12"/>
      <c r="B53" s="13" t="s">
        <v>178</v>
      </c>
      <c r="C53" s="13">
        <v>1243387.37</v>
      </c>
    </row>
    <row r="54" customHeight="1" spans="1:3">
      <c r="A54" s="12"/>
      <c r="B54" s="13" t="s">
        <v>179</v>
      </c>
      <c r="C54" s="13">
        <v>1625730.52</v>
      </c>
    </row>
    <row r="55" customHeight="1" spans="1:3">
      <c r="A55" s="12"/>
      <c r="B55" s="13" t="s">
        <v>180</v>
      </c>
      <c r="C55" s="13">
        <v>1834765.21</v>
      </c>
    </row>
    <row r="56" customHeight="1" spans="1:3">
      <c r="A56" s="12"/>
      <c r="B56" s="13" t="s">
        <v>181</v>
      </c>
      <c r="C56" s="13">
        <v>204129.2</v>
      </c>
    </row>
    <row r="57" customHeight="1" spans="1:3">
      <c r="A57" s="12"/>
      <c r="B57" s="13" t="s">
        <v>182</v>
      </c>
      <c r="C57" s="13">
        <v>52299.18</v>
      </c>
    </row>
    <row r="58" customHeight="1" spans="1:3">
      <c r="A58" s="12"/>
      <c r="B58" s="13" t="s">
        <v>183</v>
      </c>
      <c r="C58" s="13">
        <v>101080</v>
      </c>
    </row>
    <row r="59" customHeight="1" spans="1:3">
      <c r="A59" s="12"/>
      <c r="B59" s="13" t="s">
        <v>184</v>
      </c>
      <c r="C59" s="13">
        <v>239587.4</v>
      </c>
    </row>
    <row r="60" customHeight="1" spans="1:3">
      <c r="A60" s="12" t="s">
        <v>185</v>
      </c>
      <c r="B60" s="13" t="s">
        <v>173</v>
      </c>
      <c r="C60" s="13">
        <v>295766.85</v>
      </c>
    </row>
    <row r="61" customHeight="1" spans="1:3">
      <c r="A61" s="12"/>
      <c r="B61" s="13" t="s">
        <v>186</v>
      </c>
      <c r="C61" s="13">
        <v>2669792.63</v>
      </c>
    </row>
    <row r="62" customHeight="1" spans="1:3">
      <c r="A62" s="12"/>
      <c r="B62" s="13" t="s">
        <v>187</v>
      </c>
      <c r="C62" s="13">
        <v>2000</v>
      </c>
    </row>
    <row r="63" customHeight="1" spans="1:3">
      <c r="A63" s="12"/>
      <c r="B63" s="13" t="s">
        <v>188</v>
      </c>
      <c r="C63" s="13">
        <v>1715393.56</v>
      </c>
    </row>
    <row r="64" customHeight="1" spans="1:3">
      <c r="A64" s="12" t="s">
        <v>189</v>
      </c>
      <c r="B64" s="13" t="s">
        <v>188</v>
      </c>
      <c r="C64" s="13">
        <v>1535094.88</v>
      </c>
    </row>
    <row r="65" customHeight="1" spans="1:3">
      <c r="A65" s="12"/>
      <c r="B65" s="13" t="s">
        <v>173</v>
      </c>
      <c r="C65" s="13">
        <v>19581.91</v>
      </c>
    </row>
    <row r="66" customHeight="1" spans="1:3">
      <c r="A66" s="12"/>
      <c r="B66" s="13" t="s">
        <v>190</v>
      </c>
      <c r="C66" s="13">
        <v>637700.14</v>
      </c>
    </row>
    <row r="67" customHeight="1" spans="1:3">
      <c r="A67" s="12"/>
      <c r="B67" s="13" t="s">
        <v>191</v>
      </c>
      <c r="C67" s="13">
        <v>169282.48</v>
      </c>
    </row>
    <row r="68" customHeight="1" spans="1:3">
      <c r="A68" s="12"/>
      <c r="B68" s="13" t="s">
        <v>192</v>
      </c>
      <c r="C68" s="13">
        <v>632682.22</v>
      </c>
    </row>
    <row r="69" customHeight="1" spans="1:3">
      <c r="A69" s="12"/>
      <c r="B69" s="13" t="s">
        <v>193</v>
      </c>
      <c r="C69" s="13">
        <v>16345</v>
      </c>
    </row>
    <row r="70" customHeight="1" spans="1:3">
      <c r="A70" s="12" t="s">
        <v>194</v>
      </c>
      <c r="B70" s="13" t="s">
        <v>195</v>
      </c>
      <c r="C70" s="13">
        <v>7456204.87</v>
      </c>
    </row>
    <row r="71" customHeight="1" spans="1:3">
      <c r="A71" s="9"/>
      <c r="B71" s="9"/>
      <c r="C71" s="9"/>
    </row>
    <row r="72" customHeight="1" spans="1:3">
      <c r="A72" s="3"/>
      <c r="B72" s="4"/>
      <c r="C72" s="5" t="s">
        <v>71</v>
      </c>
    </row>
    <row r="73" customHeight="1" spans="1:3">
      <c r="A73" s="3"/>
      <c r="B73" s="6" t="s">
        <v>196</v>
      </c>
      <c r="C73" s="7">
        <v>103656875.18</v>
      </c>
    </row>
    <row r="74" customHeight="1" spans="1:3">
      <c r="A74" s="12" t="s">
        <v>134</v>
      </c>
      <c r="B74" s="13" t="s">
        <v>197</v>
      </c>
      <c r="C74" s="13">
        <v>320000</v>
      </c>
    </row>
    <row r="75" customHeight="1" spans="1:3">
      <c r="A75" s="12"/>
      <c r="B75" s="13" t="s">
        <v>198</v>
      </c>
      <c r="C75" s="13">
        <v>127881.6</v>
      </c>
    </row>
    <row r="76" customHeight="1" spans="1:3">
      <c r="A76" s="12"/>
      <c r="B76" s="13" t="s">
        <v>199</v>
      </c>
      <c r="C76" s="13">
        <v>52500</v>
      </c>
    </row>
    <row r="77" customHeight="1" spans="1:3">
      <c r="A77" s="12"/>
      <c r="B77" s="13" t="s">
        <v>200</v>
      </c>
      <c r="C77" s="13">
        <v>500000</v>
      </c>
    </row>
    <row r="78" customHeight="1" spans="1:3">
      <c r="A78" s="12"/>
      <c r="B78" s="13" t="s">
        <v>201</v>
      </c>
      <c r="C78" s="13">
        <v>160000.03</v>
      </c>
    </row>
    <row r="79" customHeight="1" spans="1:3">
      <c r="A79" s="12" t="s">
        <v>140</v>
      </c>
      <c r="B79" s="13" t="s">
        <v>202</v>
      </c>
      <c r="C79" s="13">
        <v>39318716.37</v>
      </c>
    </row>
    <row r="80" customHeight="1" spans="1:3">
      <c r="A80" s="12" t="s">
        <v>168</v>
      </c>
      <c r="B80" s="13" t="s">
        <v>203</v>
      </c>
      <c r="C80" s="13">
        <v>873458.95</v>
      </c>
    </row>
    <row r="81" customHeight="1" spans="1:3">
      <c r="A81" s="12"/>
      <c r="B81" s="13" t="s">
        <v>204</v>
      </c>
      <c r="C81" s="13">
        <v>8704161.63</v>
      </c>
    </row>
    <row r="82" customHeight="1" spans="1:3">
      <c r="A82" s="12"/>
      <c r="B82" s="13" t="s">
        <v>205</v>
      </c>
      <c r="C82" s="13">
        <v>15885662.84</v>
      </c>
    </row>
    <row r="83" customHeight="1" spans="1:3">
      <c r="A83" s="12"/>
      <c r="B83" s="13" t="s">
        <v>206</v>
      </c>
      <c r="C83" s="13">
        <v>2415796.06</v>
      </c>
    </row>
    <row r="84" customHeight="1" spans="1:3">
      <c r="A84" s="12"/>
      <c r="B84" s="13" t="s">
        <v>207</v>
      </c>
      <c r="C84" s="13">
        <v>115732.61</v>
      </c>
    </row>
    <row r="85" customHeight="1" spans="1:3">
      <c r="A85" s="12"/>
      <c r="B85" s="13" t="s">
        <v>208</v>
      </c>
      <c r="C85" s="13">
        <v>1815732.77</v>
      </c>
    </row>
    <row r="86" customHeight="1" spans="1:3">
      <c r="A86" s="12"/>
      <c r="B86" s="13" t="s">
        <v>209</v>
      </c>
      <c r="C86" s="13">
        <v>4175458.95</v>
      </c>
    </row>
    <row r="87" customHeight="1" spans="1:3">
      <c r="A87" s="12"/>
      <c r="B87" s="13" t="s">
        <v>210</v>
      </c>
      <c r="C87" s="13">
        <v>94595.23</v>
      </c>
    </row>
    <row r="88" customHeight="1" spans="1:3">
      <c r="A88" s="12"/>
      <c r="B88" s="13" t="s">
        <v>211</v>
      </c>
      <c r="C88" s="13">
        <v>546213.35</v>
      </c>
    </row>
    <row r="89" customHeight="1" spans="1:3">
      <c r="A89" s="12"/>
      <c r="B89" s="13" t="s">
        <v>212</v>
      </c>
      <c r="C89" s="13">
        <v>658413.8</v>
      </c>
    </row>
    <row r="90" customHeight="1" spans="1:3">
      <c r="A90" s="12"/>
      <c r="B90" s="13" t="s">
        <v>213</v>
      </c>
      <c r="C90" s="13">
        <v>87452.3</v>
      </c>
    </row>
    <row r="91" customHeight="1" spans="1:3">
      <c r="A91" s="12"/>
      <c r="B91" s="13" t="s">
        <v>214</v>
      </c>
      <c r="C91" s="13">
        <v>3686679.48</v>
      </c>
    </row>
    <row r="92" customHeight="1" spans="1:3">
      <c r="A92" s="12"/>
      <c r="B92" s="13" t="s">
        <v>215</v>
      </c>
      <c r="C92" s="13">
        <v>579117.59</v>
      </c>
    </row>
    <row r="93" customHeight="1" spans="1:3">
      <c r="A93" s="12" t="s">
        <v>185</v>
      </c>
      <c r="B93" s="13" t="s">
        <v>214</v>
      </c>
      <c r="C93" s="13">
        <v>3562874.76</v>
      </c>
    </row>
    <row r="94" customHeight="1" spans="1:3">
      <c r="A94" s="12"/>
      <c r="B94" s="13" t="s">
        <v>216</v>
      </c>
      <c r="C94" s="13">
        <v>3495258.61</v>
      </c>
    </row>
    <row r="95" customHeight="1" spans="1:3">
      <c r="A95" s="12" t="s">
        <v>189</v>
      </c>
      <c r="B95" s="13" t="s">
        <v>217</v>
      </c>
      <c r="C95" s="13">
        <v>9700000</v>
      </c>
    </row>
    <row r="96" customHeight="1" spans="1:3">
      <c r="A96" s="12"/>
      <c r="B96" s="13" t="s">
        <v>218</v>
      </c>
      <c r="C96" s="13">
        <v>5000000</v>
      </c>
    </row>
    <row r="97" customHeight="1" spans="1:3">
      <c r="A97" s="12" t="s">
        <v>194</v>
      </c>
      <c r="B97" s="13" t="s">
        <v>219</v>
      </c>
      <c r="C97" s="13">
        <v>1781168.25</v>
      </c>
    </row>
    <row r="98" customHeight="1" spans="1:3">
      <c r="A98" s="9"/>
      <c r="B98" s="9"/>
      <c r="C98" s="9"/>
    </row>
    <row r="99" customHeight="1" spans="1:3">
      <c r="A99" s="3"/>
      <c r="B99" s="4"/>
      <c r="C99" s="5" t="s">
        <v>71</v>
      </c>
    </row>
    <row r="100" customHeight="1" spans="1:3">
      <c r="A100" s="3"/>
      <c r="B100" s="6" t="s">
        <v>18</v>
      </c>
      <c r="C100" s="7">
        <v>130471154.1</v>
      </c>
    </row>
    <row r="101" customHeight="1" spans="1:3">
      <c r="A101" s="12" t="s">
        <v>134</v>
      </c>
      <c r="B101" s="13" t="s">
        <v>220</v>
      </c>
      <c r="C101" s="13">
        <v>899430.88</v>
      </c>
    </row>
    <row r="102" customHeight="1" spans="1:3">
      <c r="A102" s="12"/>
      <c r="B102" s="13" t="s">
        <v>221</v>
      </c>
      <c r="C102" s="13">
        <v>592258</v>
      </c>
    </row>
    <row r="103" customHeight="1" spans="1:3">
      <c r="A103" s="12"/>
      <c r="B103" s="13" t="s">
        <v>222</v>
      </c>
      <c r="C103" s="13">
        <v>4204530.04</v>
      </c>
    </row>
    <row r="104" customHeight="1" spans="1:3">
      <c r="A104" s="12"/>
      <c r="B104" s="13" t="s">
        <v>223</v>
      </c>
      <c r="C104" s="13">
        <v>5000000</v>
      </c>
    </row>
    <row r="105" customHeight="1" spans="1:3">
      <c r="A105" s="12"/>
      <c r="B105" s="13" t="s">
        <v>224</v>
      </c>
      <c r="C105" s="13">
        <v>1301336.44</v>
      </c>
    </row>
    <row r="106" customHeight="1" spans="1:3">
      <c r="A106" s="12"/>
      <c r="B106" s="13" t="s">
        <v>225</v>
      </c>
      <c r="C106" s="13">
        <v>1000000</v>
      </c>
    </row>
    <row r="107" customHeight="1" spans="1:3">
      <c r="A107" s="12"/>
      <c r="B107" s="13" t="s">
        <v>226</v>
      </c>
      <c r="C107" s="13">
        <v>1796800</v>
      </c>
    </row>
    <row r="108" customHeight="1" spans="1:3">
      <c r="A108" s="12"/>
      <c r="B108" s="13" t="s">
        <v>227</v>
      </c>
      <c r="C108" s="13">
        <v>50000</v>
      </c>
    </row>
    <row r="109" customHeight="1" spans="1:3">
      <c r="A109" s="12"/>
      <c r="B109" s="13" t="s">
        <v>228</v>
      </c>
      <c r="C109" s="13">
        <v>206657</v>
      </c>
    </row>
    <row r="110" customHeight="1" spans="1:3">
      <c r="A110" s="12"/>
      <c r="B110" s="13" t="s">
        <v>229</v>
      </c>
      <c r="C110" s="13">
        <v>24000</v>
      </c>
    </row>
    <row r="111" customHeight="1" spans="1:3">
      <c r="A111" s="12"/>
      <c r="B111" s="13" t="s">
        <v>230</v>
      </c>
      <c r="C111" s="13">
        <v>800000</v>
      </c>
    </row>
    <row r="112" customHeight="1" spans="1:3">
      <c r="A112" s="12"/>
      <c r="B112" s="13" t="s">
        <v>231</v>
      </c>
      <c r="C112" s="13">
        <v>1442000</v>
      </c>
    </row>
    <row r="113" customHeight="1" spans="1:3">
      <c r="A113" s="12"/>
      <c r="B113" s="13" t="s">
        <v>232</v>
      </c>
      <c r="C113" s="13">
        <v>255000</v>
      </c>
    </row>
    <row r="114" customHeight="1" spans="1:3">
      <c r="A114" s="12"/>
      <c r="B114" s="13" t="s">
        <v>233</v>
      </c>
      <c r="C114" s="13">
        <v>869392.91</v>
      </c>
    </row>
    <row r="115" customHeight="1" spans="1:3">
      <c r="A115" s="12" t="s">
        <v>140</v>
      </c>
      <c r="B115" s="13" t="s">
        <v>234</v>
      </c>
      <c r="C115" s="13">
        <v>3834174.13</v>
      </c>
    </row>
    <row r="116" customHeight="1" spans="1:3">
      <c r="A116" s="12"/>
      <c r="B116" s="13" t="s">
        <v>235</v>
      </c>
      <c r="C116" s="13">
        <v>3601295.54</v>
      </c>
    </row>
    <row r="117" customHeight="1" spans="1:3">
      <c r="A117" s="12"/>
      <c r="B117" s="13" t="s">
        <v>236</v>
      </c>
      <c r="C117" s="13">
        <v>123477</v>
      </c>
    </row>
    <row r="118" customHeight="1" spans="1:3">
      <c r="A118" s="12"/>
      <c r="B118" s="13" t="s">
        <v>237</v>
      </c>
      <c r="C118" s="13">
        <v>555988.26</v>
      </c>
    </row>
    <row r="119" customHeight="1" spans="1:3">
      <c r="A119" s="12"/>
      <c r="B119" s="13" t="s">
        <v>238</v>
      </c>
      <c r="C119" s="13">
        <v>106821</v>
      </c>
    </row>
    <row r="120" customHeight="1" spans="1:3">
      <c r="A120" s="12"/>
      <c r="B120" s="13" t="s">
        <v>239</v>
      </c>
      <c r="C120" s="13">
        <v>365595</v>
      </c>
    </row>
    <row r="121" customHeight="1" spans="1:3">
      <c r="A121" s="12"/>
      <c r="B121" s="13" t="s">
        <v>240</v>
      </c>
      <c r="C121" s="13">
        <v>200000</v>
      </c>
    </row>
    <row r="122" customHeight="1" spans="1:3">
      <c r="A122" s="12"/>
      <c r="B122" s="13" t="s">
        <v>241</v>
      </c>
      <c r="C122" s="13">
        <v>497800</v>
      </c>
    </row>
    <row r="123" customHeight="1" spans="1:3">
      <c r="A123" s="12"/>
      <c r="B123" s="13" t="s">
        <v>242</v>
      </c>
      <c r="C123" s="13">
        <v>3217492.1</v>
      </c>
    </row>
    <row r="124" customHeight="1" spans="1:3">
      <c r="A124" s="12"/>
      <c r="B124" s="13" t="s">
        <v>202</v>
      </c>
      <c r="C124" s="13">
        <v>2000000</v>
      </c>
    </row>
    <row r="125" customHeight="1" spans="1:3">
      <c r="A125" s="12"/>
      <c r="B125" s="13" t="s">
        <v>243</v>
      </c>
      <c r="C125" s="13">
        <v>134540.37</v>
      </c>
    </row>
    <row r="126" customHeight="1" spans="1:3">
      <c r="A126" s="12"/>
      <c r="B126" s="13" t="s">
        <v>244</v>
      </c>
      <c r="C126" s="13">
        <v>1097613.37</v>
      </c>
    </row>
    <row r="127" customHeight="1" spans="1:3">
      <c r="A127" s="12"/>
      <c r="B127" s="13" t="s">
        <v>167</v>
      </c>
      <c r="C127" s="13">
        <v>153000</v>
      </c>
    </row>
    <row r="128" customHeight="1" spans="1:3">
      <c r="A128" s="12" t="s">
        <v>168</v>
      </c>
      <c r="B128" s="13" t="s">
        <v>245</v>
      </c>
      <c r="C128" s="13">
        <v>2140000</v>
      </c>
    </row>
    <row r="129" customHeight="1" spans="1:3">
      <c r="A129" s="12"/>
      <c r="B129" s="13" t="s">
        <v>246</v>
      </c>
      <c r="C129" s="13">
        <v>390600</v>
      </c>
    </row>
    <row r="130" customHeight="1" spans="1:3">
      <c r="A130" s="12"/>
      <c r="B130" s="13" t="s">
        <v>247</v>
      </c>
      <c r="C130" s="13">
        <v>395025.7</v>
      </c>
    </row>
    <row r="131" customHeight="1" spans="1:3">
      <c r="A131" s="12"/>
      <c r="B131" s="13" t="s">
        <v>248</v>
      </c>
      <c r="C131" s="13">
        <v>164000</v>
      </c>
    </row>
    <row r="132" customHeight="1" spans="1:3">
      <c r="A132" s="12"/>
      <c r="B132" s="13" t="s">
        <v>249</v>
      </c>
      <c r="C132" s="13">
        <v>768874.84</v>
      </c>
    </row>
    <row r="133" customHeight="1" spans="1:3">
      <c r="A133" s="12"/>
      <c r="B133" s="13" t="s">
        <v>250</v>
      </c>
      <c r="C133" s="13">
        <v>222931</v>
      </c>
    </row>
    <row r="134" customHeight="1" spans="1:3">
      <c r="A134" s="12"/>
      <c r="B134" s="13" t="s">
        <v>171</v>
      </c>
      <c r="C134" s="13">
        <v>690000</v>
      </c>
    </row>
    <row r="135" customHeight="1" spans="1:3">
      <c r="A135" s="12"/>
      <c r="B135" s="13" t="s">
        <v>167</v>
      </c>
      <c r="C135" s="13">
        <v>13000</v>
      </c>
    </row>
    <row r="136" customHeight="1" spans="1:3">
      <c r="A136" s="12"/>
      <c r="B136" s="13" t="s">
        <v>251</v>
      </c>
      <c r="C136" s="13">
        <v>22838.4</v>
      </c>
    </row>
    <row r="137" customHeight="1" spans="1:3">
      <c r="A137" s="12"/>
      <c r="B137" s="13" t="s">
        <v>183</v>
      </c>
      <c r="C137" s="13">
        <v>167578.71</v>
      </c>
    </row>
    <row r="138" customHeight="1" spans="1:3">
      <c r="A138" s="12"/>
      <c r="B138" s="13" t="s">
        <v>175</v>
      </c>
      <c r="C138" s="13">
        <v>60000</v>
      </c>
    </row>
    <row r="139" customHeight="1" spans="1:3">
      <c r="A139" s="12"/>
      <c r="B139" s="13" t="s">
        <v>252</v>
      </c>
      <c r="C139" s="13">
        <v>235541.25</v>
      </c>
    </row>
    <row r="140" customHeight="1" spans="1:3">
      <c r="A140" s="12"/>
      <c r="B140" s="13" t="s">
        <v>253</v>
      </c>
      <c r="C140" s="13">
        <v>715921.89</v>
      </c>
    </row>
    <row r="141" customHeight="1" spans="1:3">
      <c r="A141" s="12"/>
      <c r="B141" s="13" t="s">
        <v>254</v>
      </c>
      <c r="C141" s="13">
        <v>10000</v>
      </c>
    </row>
    <row r="142" customHeight="1" spans="1:3">
      <c r="A142" s="12"/>
      <c r="B142" s="13" t="s">
        <v>255</v>
      </c>
      <c r="C142" s="13">
        <v>561123</v>
      </c>
    </row>
    <row r="143" customHeight="1" spans="1:3">
      <c r="A143" s="12"/>
      <c r="B143" s="13" t="s">
        <v>256</v>
      </c>
      <c r="C143" s="13">
        <v>20000</v>
      </c>
    </row>
    <row r="144" customHeight="1" spans="1:3">
      <c r="A144" s="12"/>
      <c r="B144" s="13" t="s">
        <v>257</v>
      </c>
      <c r="C144" s="13">
        <v>400000</v>
      </c>
    </row>
    <row r="145" customHeight="1" spans="1:3">
      <c r="A145" s="12"/>
      <c r="B145" s="13" t="s">
        <v>258</v>
      </c>
      <c r="C145" s="13">
        <v>654125.3</v>
      </c>
    </row>
    <row r="146" customHeight="1" spans="1:3">
      <c r="A146" s="12"/>
      <c r="B146" s="13" t="s">
        <v>174</v>
      </c>
      <c r="C146" s="13">
        <v>50000</v>
      </c>
    </row>
    <row r="147" customHeight="1" spans="1:3">
      <c r="A147" s="12"/>
      <c r="B147" s="13" t="s">
        <v>214</v>
      </c>
      <c r="C147" s="13">
        <v>3719580.45</v>
      </c>
    </row>
    <row r="148" customHeight="1" spans="1:3">
      <c r="A148" s="12"/>
      <c r="B148" s="13" t="s">
        <v>259</v>
      </c>
      <c r="C148" s="13">
        <v>420000</v>
      </c>
    </row>
    <row r="149" customHeight="1" spans="1:3">
      <c r="A149" s="12"/>
      <c r="B149" s="13" t="s">
        <v>260</v>
      </c>
      <c r="C149" s="13">
        <v>354214.65</v>
      </c>
    </row>
    <row r="150" customHeight="1" spans="1:3">
      <c r="A150" s="12"/>
      <c r="B150" s="13" t="s">
        <v>251</v>
      </c>
      <c r="C150" s="13">
        <v>72675</v>
      </c>
    </row>
    <row r="151" customHeight="1" spans="1:3">
      <c r="A151" s="12"/>
      <c r="B151" s="13" t="s">
        <v>261</v>
      </c>
      <c r="C151" s="13">
        <v>442350.45</v>
      </c>
    </row>
    <row r="152" customHeight="1" spans="1:3">
      <c r="A152" s="12"/>
      <c r="B152" s="13" t="s">
        <v>262</v>
      </c>
      <c r="C152" s="13">
        <v>3750973.51</v>
      </c>
    </row>
    <row r="153" customHeight="1" spans="1:3">
      <c r="A153" s="12"/>
      <c r="B153" s="13" t="s">
        <v>222</v>
      </c>
      <c r="C153" s="13">
        <v>2000000</v>
      </c>
    </row>
    <row r="154" customHeight="1" spans="1:3">
      <c r="A154" s="12"/>
      <c r="B154" s="13" t="s">
        <v>263</v>
      </c>
      <c r="C154" s="13">
        <v>2960000</v>
      </c>
    </row>
    <row r="155" customHeight="1" spans="1:3">
      <c r="A155" s="12"/>
      <c r="B155" s="13" t="s">
        <v>264</v>
      </c>
      <c r="C155" s="13">
        <v>2657871.21</v>
      </c>
    </row>
    <row r="156" customHeight="1" spans="1:3">
      <c r="A156" s="12" t="s">
        <v>185</v>
      </c>
      <c r="B156" s="13" t="s">
        <v>265</v>
      </c>
      <c r="C156" s="13">
        <v>2363541.32</v>
      </c>
    </row>
    <row r="157" customHeight="1" spans="1:3">
      <c r="A157" s="12"/>
      <c r="B157" s="13" t="s">
        <v>253</v>
      </c>
      <c r="C157" s="13">
        <v>435853.9</v>
      </c>
    </row>
    <row r="158" customHeight="1" spans="1:3">
      <c r="A158" s="12" t="s">
        <v>189</v>
      </c>
      <c r="B158" s="13" t="s">
        <v>266</v>
      </c>
      <c r="C158" s="13">
        <v>22940.12</v>
      </c>
    </row>
    <row r="159" customHeight="1" spans="1:3">
      <c r="A159" s="12"/>
      <c r="B159" s="13" t="s">
        <v>267</v>
      </c>
      <c r="C159" s="13">
        <v>104097.72</v>
      </c>
    </row>
    <row r="160" customHeight="1" spans="1:3">
      <c r="A160" s="12"/>
      <c r="B160" s="13" t="s">
        <v>268</v>
      </c>
      <c r="C160" s="13">
        <v>81112.7</v>
      </c>
    </row>
    <row r="161" customHeight="1" spans="1:3">
      <c r="A161" s="12"/>
      <c r="B161" s="13" t="s">
        <v>269</v>
      </c>
      <c r="C161" s="13">
        <v>944514.17</v>
      </c>
    </row>
    <row r="162" customHeight="1" spans="1:3">
      <c r="A162" s="12"/>
      <c r="B162" s="13" t="s">
        <v>270</v>
      </c>
      <c r="C162" s="13">
        <v>100000</v>
      </c>
    </row>
    <row r="163" customHeight="1" spans="1:3">
      <c r="A163" s="12"/>
      <c r="B163" s="13" t="s">
        <v>271</v>
      </c>
      <c r="C163" s="13">
        <v>110000</v>
      </c>
    </row>
    <row r="164" customHeight="1" spans="1:3">
      <c r="A164" s="12" t="s">
        <v>194</v>
      </c>
      <c r="B164" s="13" t="s">
        <v>272</v>
      </c>
      <c r="C164" s="13">
        <v>54372317.14</v>
      </c>
    </row>
    <row r="165" customHeight="1" spans="1:3">
      <c r="A165" s="12" t="s">
        <v>273</v>
      </c>
      <c r="B165" s="13" t="s">
        <v>274</v>
      </c>
      <c r="C165" s="13">
        <v>13749401.95</v>
      </c>
    </row>
    <row r="166" customHeight="1" spans="1:3">
      <c r="A166" s="12" t="s">
        <v>275</v>
      </c>
      <c r="B166" s="13" t="s">
        <v>276</v>
      </c>
      <c r="C166" s="13">
        <v>-201052.32</v>
      </c>
    </row>
    <row r="167" customHeight="1" spans="1:3">
      <c r="A167" s="9"/>
      <c r="B167" s="9"/>
      <c r="C167" s="9"/>
    </row>
    <row r="168" customHeight="1" spans="1:3">
      <c r="A168" s="3"/>
      <c r="B168" s="4"/>
      <c r="C168" s="5" t="s">
        <v>71</v>
      </c>
    </row>
    <row r="169" customHeight="1" spans="1:3">
      <c r="A169" s="3"/>
      <c r="B169" s="14" t="s">
        <v>20</v>
      </c>
      <c r="C169" s="7">
        <v>165835495.6</v>
      </c>
    </row>
    <row r="170" customHeight="1" spans="1:3">
      <c r="A170" s="15" t="s">
        <v>140</v>
      </c>
      <c r="B170" s="16" t="s">
        <v>277</v>
      </c>
      <c r="C170" s="16">
        <v>51948959.17</v>
      </c>
    </row>
    <row r="171" customHeight="1" spans="1:3">
      <c r="A171" s="15" t="s">
        <v>168</v>
      </c>
      <c r="B171" s="16" t="s">
        <v>277</v>
      </c>
      <c r="C171" s="16">
        <v>53940781.34</v>
      </c>
    </row>
    <row r="172" customHeight="1" spans="1:3">
      <c r="A172" s="15" t="s">
        <v>185</v>
      </c>
      <c r="B172" s="16" t="s">
        <v>277</v>
      </c>
      <c r="C172" s="16">
        <v>33995769.41</v>
      </c>
    </row>
    <row r="173" customHeight="1" spans="1:3">
      <c r="A173" s="15" t="s">
        <v>189</v>
      </c>
      <c r="B173" s="16" t="s">
        <v>20</v>
      </c>
      <c r="C173" s="16">
        <v>705579.17</v>
      </c>
    </row>
    <row r="174" customHeight="1" spans="1:3">
      <c r="A174" s="15" t="s">
        <v>278</v>
      </c>
      <c r="B174" s="16" t="s">
        <v>20</v>
      </c>
      <c r="C174" s="16">
        <v>25244406.51</v>
      </c>
    </row>
    <row r="175" customHeight="1" spans="1:3">
      <c r="A175" s="9"/>
      <c r="B175" s="9"/>
      <c r="C175" s="9"/>
    </row>
    <row r="176" customHeight="1" spans="1:3">
      <c r="A176" s="17"/>
      <c r="B176" s="14" t="s">
        <v>41</v>
      </c>
      <c r="C176" s="18" t="s">
        <v>71</v>
      </c>
    </row>
    <row r="177" customHeight="1" spans="1:3">
      <c r="A177" s="19"/>
      <c r="B177" s="20" t="s">
        <v>279</v>
      </c>
      <c r="C177" s="21">
        <v>744763656.43</v>
      </c>
    </row>
    <row r="178" customHeight="1" spans="1:3">
      <c r="A178" s="9"/>
      <c r="B178" s="9"/>
      <c r="C178" s="9"/>
    </row>
    <row r="179" customHeight="1" spans="1:3">
      <c r="A179" s="17"/>
      <c r="B179" s="22"/>
      <c r="C179" s="18" t="s">
        <v>71</v>
      </c>
    </row>
    <row r="180" customHeight="1" spans="1:3">
      <c r="A180" s="17"/>
      <c r="B180" s="14" t="s">
        <v>43</v>
      </c>
      <c r="C180" s="21">
        <v>6878540</v>
      </c>
    </row>
    <row r="181" customHeight="1" spans="1:3">
      <c r="A181" s="12" t="s">
        <v>134</v>
      </c>
      <c r="B181" s="13" t="s">
        <v>280</v>
      </c>
      <c r="C181" s="13">
        <v>2500000</v>
      </c>
    </row>
    <row r="182" customHeight="1" spans="1:3">
      <c r="A182" s="12"/>
      <c r="B182" s="13" t="s">
        <v>281</v>
      </c>
      <c r="C182" s="13">
        <v>4240000</v>
      </c>
    </row>
    <row r="183" customHeight="1" spans="1:3">
      <c r="A183" s="15" t="s">
        <v>278</v>
      </c>
      <c r="B183" s="3" t="s">
        <v>282</v>
      </c>
      <c r="C183" s="16">
        <v>138540</v>
      </c>
    </row>
    <row r="184" customHeight="1" spans="1:3">
      <c r="A184" s="9"/>
      <c r="B184" s="9"/>
      <c r="C184" s="9"/>
    </row>
    <row r="185" customHeight="1" spans="1:3">
      <c r="A185" s="17"/>
      <c r="B185" s="22"/>
      <c r="C185" s="18" t="s">
        <v>71</v>
      </c>
    </row>
    <row r="186" customHeight="1" spans="1:3">
      <c r="A186" s="17"/>
      <c r="B186" s="14" t="s">
        <v>53</v>
      </c>
      <c r="C186" s="21">
        <v>7811176.29488218</v>
      </c>
    </row>
    <row r="187" customHeight="1" spans="1:3">
      <c r="A187" s="12" t="s">
        <v>134</v>
      </c>
      <c r="B187" s="13" t="s">
        <v>283</v>
      </c>
      <c r="C187" s="13">
        <v>2781834.595785</v>
      </c>
    </row>
    <row r="188" customHeight="1" spans="1:3">
      <c r="A188" s="12"/>
      <c r="B188" s="13" t="s">
        <v>284</v>
      </c>
      <c r="C188" s="13">
        <v>67684.47502275</v>
      </c>
    </row>
    <row r="189" customHeight="1" spans="1:3">
      <c r="A189" s="12"/>
      <c r="B189" s="13" t="s">
        <v>285</v>
      </c>
      <c r="C189" s="13">
        <v>1700939.45407443</v>
      </c>
    </row>
    <row r="190" customHeight="1" spans="1:3">
      <c r="A190" s="15" t="s">
        <v>278</v>
      </c>
      <c r="B190" s="23" t="s">
        <v>286</v>
      </c>
      <c r="C190" s="13">
        <v>92688.41</v>
      </c>
    </row>
    <row r="191" customHeight="1" spans="1:3">
      <c r="A191" s="15" t="s">
        <v>287</v>
      </c>
      <c r="B191" s="23" t="s">
        <v>288</v>
      </c>
      <c r="C191" s="13">
        <v>1268970.48</v>
      </c>
    </row>
    <row r="192" customHeight="1" spans="1:3">
      <c r="A192" s="15" t="s">
        <v>289</v>
      </c>
      <c r="B192" s="23" t="s">
        <v>288</v>
      </c>
      <c r="C192" s="13">
        <v>1899058.88</v>
      </c>
    </row>
    <row r="193" customHeight="1" spans="1:3">
      <c r="A193" s="9"/>
      <c r="B193" s="9"/>
      <c r="C193" s="9"/>
    </row>
    <row r="194" customHeight="1" spans="1:3">
      <c r="A194" s="17"/>
      <c r="B194" s="22"/>
      <c r="C194" s="18" t="s">
        <v>71</v>
      </c>
    </row>
    <row r="195" customHeight="1" spans="1:3">
      <c r="A195" s="17"/>
      <c r="B195" s="14" t="s">
        <v>59</v>
      </c>
      <c r="C195" s="21">
        <v>185162196.938464</v>
      </c>
    </row>
    <row r="196" customHeight="1" spans="1:3">
      <c r="A196" s="12" t="s">
        <v>134</v>
      </c>
      <c r="B196" s="16" t="s">
        <v>59</v>
      </c>
      <c r="C196" s="16">
        <v>87610164.77</v>
      </c>
    </row>
    <row r="197" customHeight="1" spans="1:3">
      <c r="A197" s="3" t="s">
        <v>140</v>
      </c>
      <c r="B197" s="16" t="s">
        <v>290</v>
      </c>
      <c r="C197" s="16">
        <v>29622537.41625</v>
      </c>
    </row>
    <row r="198" customHeight="1" spans="1:3">
      <c r="A198" s="3" t="s">
        <v>168</v>
      </c>
      <c r="B198" s="16" t="s">
        <v>290</v>
      </c>
      <c r="C198" s="16">
        <v>47188229.93375</v>
      </c>
    </row>
    <row r="199" customHeight="1" spans="1:3">
      <c r="A199" s="3" t="s">
        <v>185</v>
      </c>
      <c r="B199" s="16" t="s">
        <v>290</v>
      </c>
      <c r="C199" s="16">
        <v>4094918.04</v>
      </c>
    </row>
    <row r="200" customHeight="1" spans="1:3">
      <c r="A200" s="15" t="s">
        <v>189</v>
      </c>
      <c r="B200" s="16" t="s">
        <v>59</v>
      </c>
      <c r="C200" s="16">
        <v>14125350.0084638</v>
      </c>
    </row>
    <row r="201" customHeight="1" spans="1:3">
      <c r="A201" s="15" t="s">
        <v>278</v>
      </c>
      <c r="B201" s="16" t="s">
        <v>291</v>
      </c>
      <c r="C201" s="16">
        <v>2520996.77</v>
      </c>
    </row>
    <row r="202" customHeight="1" spans="1:3">
      <c r="A202" s="9"/>
      <c r="B202" s="9"/>
      <c r="C202" s="9"/>
    </row>
    <row r="203" customHeight="1" spans="1:3">
      <c r="A203" s="17"/>
      <c r="B203" s="22"/>
      <c r="C203" s="18" t="s">
        <v>71</v>
      </c>
    </row>
    <row r="204" customHeight="1" spans="1:3">
      <c r="A204" s="17"/>
      <c r="B204" s="14" t="s">
        <v>5</v>
      </c>
      <c r="C204" s="21">
        <v>195257566</v>
      </c>
    </row>
    <row r="205" customHeight="1" spans="1:3">
      <c r="A205" s="3" t="s">
        <v>140</v>
      </c>
      <c r="B205" s="16" t="s">
        <v>292</v>
      </c>
      <c r="C205" s="16">
        <v>75520000</v>
      </c>
    </row>
    <row r="206" customHeight="1" spans="1:3">
      <c r="A206" s="3" t="s">
        <v>168</v>
      </c>
      <c r="B206" s="16" t="s">
        <v>292</v>
      </c>
      <c r="C206" s="16">
        <v>90020000</v>
      </c>
    </row>
    <row r="207" customHeight="1" spans="1:3">
      <c r="A207" s="3" t="s">
        <v>185</v>
      </c>
      <c r="B207" s="16" t="s">
        <v>292</v>
      </c>
      <c r="C207" s="16">
        <v>18267566</v>
      </c>
    </row>
    <row r="208" customHeight="1" spans="1:3">
      <c r="A208" s="15" t="s">
        <v>189</v>
      </c>
      <c r="B208" s="16" t="s">
        <v>5</v>
      </c>
      <c r="C208" s="16">
        <v>11150000</v>
      </c>
    </row>
    <row r="209" customHeight="1" spans="1:3">
      <c r="A209" s="15" t="s">
        <v>278</v>
      </c>
      <c r="B209" s="16" t="s">
        <v>5</v>
      </c>
      <c r="C209" s="16">
        <v>300000</v>
      </c>
    </row>
    <row r="210" customHeight="1" spans="1:3">
      <c r="A210" s="9"/>
      <c r="B210" s="9"/>
      <c r="C210" s="9"/>
    </row>
    <row r="211" customHeight="1" spans="1:3">
      <c r="A211" s="17"/>
      <c r="B211" s="22"/>
      <c r="C211" s="18" t="s">
        <v>71</v>
      </c>
    </row>
    <row r="212" customHeight="1" spans="1:3">
      <c r="A212" s="17"/>
      <c r="B212" s="14" t="s">
        <v>11</v>
      </c>
      <c r="C212" s="21">
        <v>59913057.81</v>
      </c>
    </row>
    <row r="213" customHeight="1" spans="1:3">
      <c r="A213" s="15" t="s">
        <v>189</v>
      </c>
      <c r="B213" s="16" t="s">
        <v>293</v>
      </c>
      <c r="C213" s="16">
        <v>1864899.69</v>
      </c>
    </row>
    <row r="214" customHeight="1" spans="1:3">
      <c r="A214" s="15" t="s">
        <v>278</v>
      </c>
      <c r="B214" s="16" t="s">
        <v>294</v>
      </c>
      <c r="C214" s="16">
        <v>58044798.12</v>
      </c>
    </row>
    <row r="215" ht="15" customHeight="1" spans="1:3">
      <c r="A215" s="15" t="s">
        <v>287</v>
      </c>
      <c r="B215" s="16" t="s">
        <v>295</v>
      </c>
      <c r="C215" s="16">
        <v>3360</v>
      </c>
    </row>
    <row r="216" customHeight="1" spans="1:3">
      <c r="A216" s="9"/>
      <c r="B216" s="9"/>
      <c r="C216" s="9"/>
    </row>
    <row r="217" customHeight="1" spans="1:3">
      <c r="A217" s="17"/>
      <c r="B217" s="22"/>
      <c r="C217" s="18" t="s">
        <v>71</v>
      </c>
    </row>
    <row r="218" customHeight="1" spans="1:3">
      <c r="A218" s="17"/>
      <c r="B218" s="14" t="s">
        <v>13</v>
      </c>
      <c r="C218" s="21">
        <v>-1006854.58</v>
      </c>
    </row>
    <row r="219" customHeight="1" spans="1:3">
      <c r="A219" s="15" t="s">
        <v>287</v>
      </c>
      <c r="B219" s="16" t="s">
        <v>13</v>
      </c>
      <c r="C219" s="16">
        <v>-1006854.58</v>
      </c>
    </row>
    <row r="220" customHeight="1" spans="1:3">
      <c r="A220" s="9"/>
      <c r="B220" s="9"/>
      <c r="C220" s="9"/>
    </row>
    <row r="221" customHeight="1" spans="1:3">
      <c r="A221" s="17"/>
      <c r="B221" s="22"/>
      <c r="C221" s="18" t="s">
        <v>71</v>
      </c>
    </row>
    <row r="222" customHeight="1" spans="1:3">
      <c r="A222" s="17"/>
      <c r="B222" s="14" t="s">
        <v>296</v>
      </c>
      <c r="C222" s="21">
        <v>12579334.49</v>
      </c>
    </row>
    <row r="223" customHeight="1" spans="1:3">
      <c r="A223" s="12" t="s">
        <v>134</v>
      </c>
      <c r="B223" s="13" t="s">
        <v>297</v>
      </c>
      <c r="C223" s="13">
        <v>100000</v>
      </c>
    </row>
    <row r="224" customHeight="1" spans="1:3">
      <c r="A224" s="12"/>
      <c r="B224" s="13" t="s">
        <v>298</v>
      </c>
      <c r="C224" s="13">
        <v>100000</v>
      </c>
    </row>
    <row r="225" customHeight="1" spans="1:3">
      <c r="A225" s="12"/>
      <c r="B225" s="13" t="s">
        <v>299</v>
      </c>
      <c r="C225" s="13">
        <v>35000</v>
      </c>
    </row>
    <row r="226" customHeight="1" spans="1:3">
      <c r="A226" s="12"/>
      <c r="B226" s="13" t="s">
        <v>300</v>
      </c>
      <c r="C226" s="13">
        <v>400000</v>
      </c>
    </row>
    <row r="227" customHeight="1" spans="1:3">
      <c r="A227" s="12"/>
      <c r="B227" s="13" t="s">
        <v>301</v>
      </c>
      <c r="C227" s="13">
        <v>40000</v>
      </c>
    </row>
    <row r="228" customHeight="1" spans="1:3">
      <c r="A228" s="12"/>
      <c r="B228" s="13" t="s">
        <v>302</v>
      </c>
      <c r="C228" s="13">
        <v>5348</v>
      </c>
    </row>
    <row r="229" customHeight="1" spans="1:3">
      <c r="A229" s="12"/>
      <c r="B229" s="13" t="s">
        <v>303</v>
      </c>
      <c r="C229" s="13">
        <v>48547</v>
      </c>
    </row>
    <row r="230" customHeight="1" spans="1:3">
      <c r="A230" s="12"/>
      <c r="B230" s="13" t="s">
        <v>304</v>
      </c>
      <c r="C230" s="13">
        <v>2000000</v>
      </c>
    </row>
    <row r="231" customHeight="1" spans="1:3">
      <c r="A231" s="12"/>
      <c r="B231" s="13" t="s">
        <v>305</v>
      </c>
      <c r="C231" s="13">
        <v>113288.3</v>
      </c>
    </row>
    <row r="232" customHeight="1" spans="1:3">
      <c r="A232" s="12"/>
      <c r="B232" s="13" t="s">
        <v>306</v>
      </c>
      <c r="C232" s="13">
        <v>108483.33</v>
      </c>
    </row>
    <row r="233" customHeight="1" spans="1:3">
      <c r="A233" s="12"/>
      <c r="B233" s="13" t="s">
        <v>307</v>
      </c>
      <c r="C233" s="13">
        <v>26925.99</v>
      </c>
    </row>
    <row r="234" customHeight="1" spans="1:3">
      <c r="A234" s="12"/>
      <c r="B234" s="13" t="s">
        <v>308</v>
      </c>
      <c r="C234" s="13">
        <v>53456.11</v>
      </c>
    </row>
    <row r="235" customHeight="1" spans="1:3">
      <c r="A235" s="12"/>
      <c r="B235" s="13" t="s">
        <v>309</v>
      </c>
      <c r="C235" s="13">
        <v>80000.01</v>
      </c>
    </row>
    <row r="236" customHeight="1" spans="1:3">
      <c r="A236" s="12"/>
      <c r="B236" s="13" t="s">
        <v>310</v>
      </c>
      <c r="C236" s="13">
        <v>200000</v>
      </c>
    </row>
    <row r="237" customHeight="1" spans="1:3">
      <c r="A237" s="12" t="s">
        <v>140</v>
      </c>
      <c r="B237" s="13" t="s">
        <v>311</v>
      </c>
      <c r="C237" s="13">
        <v>834</v>
      </c>
    </row>
    <row r="238" customHeight="1" spans="1:3">
      <c r="A238" s="12"/>
      <c r="B238" s="13" t="s">
        <v>312</v>
      </c>
      <c r="C238" s="13">
        <v>3964</v>
      </c>
    </row>
    <row r="239" customHeight="1" spans="1:3">
      <c r="A239" s="12"/>
      <c r="B239" s="13" t="s">
        <v>313</v>
      </c>
      <c r="C239" s="13">
        <v>51691.99</v>
      </c>
    </row>
    <row r="240" customHeight="1" spans="1:3">
      <c r="A240" s="12" t="s">
        <v>168</v>
      </c>
      <c r="B240" s="13" t="s">
        <v>314</v>
      </c>
      <c r="C240" s="13">
        <v>38013.79</v>
      </c>
    </row>
    <row r="241" customHeight="1" spans="1:3">
      <c r="A241" s="12"/>
      <c r="B241" s="13" t="s">
        <v>315</v>
      </c>
      <c r="C241" s="13">
        <v>32157.59</v>
      </c>
    </row>
    <row r="242" customHeight="1" spans="1:3">
      <c r="A242" s="12" t="s">
        <v>185</v>
      </c>
      <c r="B242" s="13" t="s">
        <v>316</v>
      </c>
      <c r="C242" s="13">
        <v>3992.32</v>
      </c>
    </row>
    <row r="243" customHeight="1" spans="1:3">
      <c r="A243" s="12"/>
      <c r="B243" s="13" t="s">
        <v>317</v>
      </c>
      <c r="C243" s="13">
        <v>41770.04</v>
      </c>
    </row>
    <row r="244" customHeight="1" spans="1:3">
      <c r="A244" s="12" t="s">
        <v>189</v>
      </c>
      <c r="B244" s="13" t="s">
        <v>316</v>
      </c>
      <c r="C244" s="13">
        <v>109027.97</v>
      </c>
    </row>
    <row r="245" customHeight="1" spans="1:3">
      <c r="A245" s="15" t="s">
        <v>278</v>
      </c>
      <c r="B245" s="16" t="s">
        <v>272</v>
      </c>
      <c r="C245" s="16">
        <v>4700790.83</v>
      </c>
    </row>
    <row r="246" customHeight="1" spans="1:3">
      <c r="A246" s="15" t="s">
        <v>287</v>
      </c>
      <c r="B246" s="16" t="s">
        <v>318</v>
      </c>
      <c r="C246" s="16">
        <v>1156902.86</v>
      </c>
    </row>
    <row r="247" customHeight="1" spans="1:3">
      <c r="A247" s="15" t="s">
        <v>289</v>
      </c>
      <c r="B247" s="16" t="s">
        <v>319</v>
      </c>
      <c r="C247" s="16">
        <v>3129140.36</v>
      </c>
    </row>
    <row r="248" customHeight="1" spans="1:3">
      <c r="A248" s="9"/>
      <c r="B248" s="9"/>
      <c r="C248" s="9"/>
    </row>
    <row r="249" customHeight="1" spans="1:3">
      <c r="A249" s="17"/>
      <c r="B249" s="22"/>
      <c r="C249" s="18" t="s">
        <v>71</v>
      </c>
    </row>
    <row r="250" customHeight="1" spans="1:3">
      <c r="A250" s="17"/>
      <c r="B250" s="14" t="s">
        <v>15</v>
      </c>
      <c r="C250" s="21">
        <v>6564080.05</v>
      </c>
    </row>
    <row r="251" customHeight="1" spans="1:3">
      <c r="A251" s="3" t="s">
        <v>168</v>
      </c>
      <c r="B251" s="16" t="s">
        <v>15</v>
      </c>
      <c r="C251" s="16">
        <v>539064.27</v>
      </c>
    </row>
    <row r="252" customHeight="1" spans="1:3">
      <c r="A252" s="15" t="s">
        <v>278</v>
      </c>
      <c r="B252" s="16" t="s">
        <v>15</v>
      </c>
      <c r="C252" s="16">
        <v>5685012.38</v>
      </c>
    </row>
    <row r="253" customHeight="1" spans="1:3">
      <c r="A253" s="15" t="s">
        <v>287</v>
      </c>
      <c r="B253" s="16" t="s">
        <v>15</v>
      </c>
      <c r="C253" s="16">
        <v>340003.4</v>
      </c>
    </row>
    <row r="254" customHeight="1" spans="1:3">
      <c r="A254" s="9"/>
      <c r="B254" s="9"/>
      <c r="C254" s="9"/>
    </row>
    <row r="255" customHeight="1" spans="1:3">
      <c r="A255" s="17"/>
      <c r="B255" s="22"/>
      <c r="C255" s="18" t="s">
        <v>71</v>
      </c>
    </row>
    <row r="256" customHeight="1" spans="1:3">
      <c r="A256" s="17"/>
      <c r="B256" s="14" t="s">
        <v>17</v>
      </c>
      <c r="C256" s="21">
        <v>-928398.3164</v>
      </c>
    </row>
    <row r="257" customHeight="1" spans="1:3">
      <c r="A257" s="3" t="s">
        <v>140</v>
      </c>
      <c r="B257" s="16" t="s">
        <v>17</v>
      </c>
      <c r="C257" s="16">
        <v>-1015038.7484</v>
      </c>
    </row>
    <row r="258" customHeight="1" spans="1:3">
      <c r="A258" s="3" t="s">
        <v>168</v>
      </c>
      <c r="B258" s="16" t="s">
        <v>17</v>
      </c>
      <c r="C258" s="16">
        <v>-1131237.928</v>
      </c>
    </row>
    <row r="259" customHeight="1" spans="1:3">
      <c r="A259" s="3" t="s">
        <v>185</v>
      </c>
      <c r="B259" s="16" t="s">
        <v>17</v>
      </c>
      <c r="C259" s="16">
        <v>-171161.07</v>
      </c>
    </row>
    <row r="260" customHeight="1" spans="1:3">
      <c r="A260" s="15" t="s">
        <v>189</v>
      </c>
      <c r="B260" s="16" t="s">
        <v>17</v>
      </c>
      <c r="C260" s="16">
        <v>232644.61</v>
      </c>
    </row>
    <row r="261" customHeight="1" spans="1:3">
      <c r="A261" s="15" t="s">
        <v>278</v>
      </c>
      <c r="B261" s="16" t="s">
        <v>17</v>
      </c>
      <c r="C261" s="16">
        <v>1081918.21</v>
      </c>
    </row>
    <row r="262" customHeight="1" spans="1:3">
      <c r="A262" s="15" t="s">
        <v>287</v>
      </c>
      <c r="B262" s="16" t="s">
        <v>17</v>
      </c>
      <c r="C262" s="16">
        <v>71860.49</v>
      </c>
    </row>
    <row r="263" customHeight="1" spans="1:3">
      <c r="A263" s="15" t="s">
        <v>289</v>
      </c>
      <c r="B263" s="16" t="s">
        <v>17</v>
      </c>
      <c r="C263" s="16">
        <v>2616.12</v>
      </c>
    </row>
    <row r="264" customHeight="1" spans="1:3">
      <c r="A264" s="9"/>
      <c r="B264" s="9"/>
      <c r="C264" s="9"/>
    </row>
    <row r="265" customHeight="1" spans="1:3">
      <c r="A265" s="17"/>
      <c r="B265" s="22"/>
      <c r="C265" s="18" t="s">
        <v>71</v>
      </c>
    </row>
    <row r="266" customHeight="1" spans="1:3">
      <c r="A266" s="17"/>
      <c r="B266" s="14" t="s">
        <v>34</v>
      </c>
      <c r="C266" s="21">
        <v>99944800</v>
      </c>
    </row>
    <row r="267" customHeight="1" spans="1:3">
      <c r="A267" s="12" t="s">
        <v>134</v>
      </c>
      <c r="B267" s="16" t="s">
        <v>34</v>
      </c>
      <c r="C267" s="16">
        <v>93914800</v>
      </c>
    </row>
    <row r="268" customHeight="1" spans="1:3">
      <c r="A268" s="3" t="s">
        <v>140</v>
      </c>
      <c r="B268" s="16" t="s">
        <v>292</v>
      </c>
      <c r="C268" s="16">
        <v>4000000</v>
      </c>
    </row>
    <row r="269" customHeight="1" spans="1:3">
      <c r="A269" s="15" t="s">
        <v>289</v>
      </c>
      <c r="B269" s="16" t="s">
        <v>34</v>
      </c>
      <c r="C269" s="16">
        <v>2030000</v>
      </c>
    </row>
    <row r="270" customHeight="1" spans="1:3">
      <c r="A270" s="9"/>
      <c r="B270" s="9"/>
      <c r="C270" s="9"/>
    </row>
    <row r="271" customHeight="1" spans="1:3">
      <c r="A271" s="17"/>
      <c r="B271" s="22"/>
      <c r="C271" s="18" t="s">
        <v>71</v>
      </c>
    </row>
    <row r="272" customHeight="1" spans="1:3">
      <c r="A272" s="17"/>
      <c r="B272" s="14" t="s">
        <v>52</v>
      </c>
      <c r="C272" s="21">
        <v>50000000</v>
      </c>
    </row>
    <row r="273" customHeight="1" spans="1:3">
      <c r="A273" s="17"/>
      <c r="B273" s="13" t="s">
        <v>320</v>
      </c>
      <c r="C273" s="13">
        <v>40000000</v>
      </c>
    </row>
    <row r="274" customHeight="1" spans="1:3">
      <c r="A274" s="17"/>
      <c r="B274" s="13" t="s">
        <v>321</v>
      </c>
      <c r="C274" s="13">
        <v>10000000</v>
      </c>
    </row>
  </sheetData>
  <mergeCells count="20">
    <mergeCell ref="A9:A13"/>
    <mergeCell ref="A14:A42"/>
    <mergeCell ref="A43:A59"/>
    <mergeCell ref="A60:A63"/>
    <mergeCell ref="A64:A69"/>
    <mergeCell ref="A74:A78"/>
    <mergeCell ref="A80:A92"/>
    <mergeCell ref="A93:A94"/>
    <mergeCell ref="A95:A96"/>
    <mergeCell ref="A101:A114"/>
    <mergeCell ref="A115:A127"/>
    <mergeCell ref="A128:A155"/>
    <mergeCell ref="A156:A157"/>
    <mergeCell ref="A158:A163"/>
    <mergeCell ref="A181:A182"/>
    <mergeCell ref="A187:A189"/>
    <mergeCell ref="A223:A236"/>
    <mergeCell ref="A237:A239"/>
    <mergeCell ref="A240:A241"/>
    <mergeCell ref="A242:A243"/>
  </mergeCells>
  <printOptions horizontalCentered="1" verticalCentered="1"/>
  <pageMargins left="0.786805555555556" right="0.393055555555556" top="0.314583333333333" bottom="0.236111111111111" header="0.196527777777778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集团合并-资</vt:lpstr>
      <vt:lpstr>集团合并-利</vt:lpstr>
      <vt:lpstr>集团合并-现</vt:lpstr>
      <vt:lpstr>报表附注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IWE</dc:creator>
  <cp:lastModifiedBy>70962</cp:lastModifiedBy>
  <dcterms:created xsi:type="dcterms:W3CDTF">2021-03-04T02:39:00Z</dcterms:created>
  <dcterms:modified xsi:type="dcterms:W3CDTF">2025-02-05T08:06:10Z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C62D6D578F5242D1862AD5BB99444183</vt:lpwstr>
  </property>
  <property fmtid="{D5CDD505-2E9C-101B-9397-08002B2CF9AE}" pid="4" name="KSOReadingLayout">
    <vt:bool>true</vt:bool>
  </property>
</Properties>
</file>