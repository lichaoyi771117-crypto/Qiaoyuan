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775" windowHeight="12375" tabRatio="500"/>
  </bookViews>
  <sheets>
    <sheet name="资产负债表" sheetId="1" r:id="rId1"/>
    <sheet name="利润表" sheetId="2" r:id="rId2"/>
    <sheet name="现金流量表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<sst xmlns="http://schemas.openxmlformats.org/spreadsheetml/2006/main" count="156" uniqueCount="149">
  <si>
    <t>资产负债表</t>
  </si>
  <si>
    <t>12</t>
  </si>
  <si>
    <t>会企01表</t>
  </si>
  <si>
    <t>编制单位：巨和物业服务有限公司</t>
  </si>
  <si>
    <t>巨和物业服务公司</t>
  </si>
  <si>
    <t>单位：元</t>
  </si>
  <si>
    <t>资　　产</t>
  </si>
  <si>
    <r>
      <rPr>
        <b/>
        <sz val="10"/>
        <rFont val="宋体"/>
        <charset val="1"/>
      </rPr>
      <t>期末数</t>
    </r>
  </si>
  <si>
    <r>
      <rPr>
        <b/>
        <sz val="10"/>
        <rFont val="宋体"/>
        <charset val="1"/>
      </rPr>
      <t>年初数</t>
    </r>
  </si>
  <si>
    <t>负债及所有者权益（或股东权益）</t>
  </si>
  <si>
    <t>期末数</t>
  </si>
  <si>
    <t>年初数</t>
  </si>
  <si>
    <t>流动资产:</t>
  </si>
  <si>
    <t>流动负债:</t>
  </si>
  <si>
    <t xml:space="preserve">    货币资金</t>
  </si>
  <si>
    <t xml:space="preserve">    短期借款</t>
  </si>
  <si>
    <t xml:space="preserve">    交易性金融资产</t>
  </si>
  <si>
    <t xml:space="preserve">    交易性金融负债</t>
  </si>
  <si>
    <t xml:space="preserve">    应收票据</t>
  </si>
  <si>
    <t xml:space="preserve">    应付票据</t>
  </si>
  <si>
    <t xml:space="preserve">    应收账款</t>
  </si>
  <si>
    <t xml:space="preserve">    应付账款</t>
  </si>
  <si>
    <t xml:space="preserve">    预付款项</t>
  </si>
  <si>
    <t xml:space="preserve">    预收款项</t>
  </si>
  <si>
    <t>　　坏账准备　</t>
  </si>
  <si>
    <t xml:space="preserve">    应付职工薪酬</t>
  </si>
  <si>
    <t xml:space="preserve">    应收股利</t>
  </si>
  <si>
    <t xml:space="preserve">    应交税费</t>
  </si>
  <si>
    <t xml:space="preserve">    其他应收款</t>
  </si>
  <si>
    <t xml:space="preserve">    应付利息</t>
  </si>
  <si>
    <t xml:space="preserve">    存货</t>
  </si>
  <si>
    <t xml:space="preserve">    应付股利</t>
  </si>
  <si>
    <t xml:space="preserve">    一年内到期的非流动资产</t>
  </si>
  <si>
    <t xml:space="preserve">    其他应付款</t>
  </si>
  <si>
    <t xml:space="preserve">    其他流动资产</t>
  </si>
  <si>
    <t xml:space="preserve">    一年内到期的非流动负债</t>
  </si>
  <si>
    <t xml:space="preserve">        流动资产合计</t>
  </si>
  <si>
    <t xml:space="preserve">    其他流动负债</t>
  </si>
  <si>
    <t xml:space="preserve">        流动负债合计</t>
  </si>
  <si>
    <t>非流动资产:</t>
  </si>
  <si>
    <t>非流动负债:</t>
  </si>
  <si>
    <t xml:space="preserve">    可供出售金融资产</t>
  </si>
  <si>
    <t xml:space="preserve">    长期借款</t>
  </si>
  <si>
    <t xml:space="preserve">    持有至到期投资</t>
  </si>
  <si>
    <t xml:space="preserve">    应付债券</t>
  </si>
  <si>
    <t xml:space="preserve">    长期应收款</t>
  </si>
  <si>
    <t xml:space="preserve">    长期应付款</t>
  </si>
  <si>
    <t xml:space="preserve">    长期股权投资</t>
  </si>
  <si>
    <t xml:space="preserve">    专项应付款</t>
  </si>
  <si>
    <t xml:space="preserve">    投资性房地产</t>
  </si>
  <si>
    <t xml:space="preserve">    预计负债</t>
  </si>
  <si>
    <t xml:space="preserve">    固定资产</t>
  </si>
  <si>
    <t xml:space="preserve">    递延所得税负债</t>
  </si>
  <si>
    <t xml:space="preserve">    其中：固定资产原值</t>
  </si>
  <si>
    <t xml:space="preserve">    其他非流动负债</t>
  </si>
  <si>
    <t xml:space="preserve">          累计折旧</t>
  </si>
  <si>
    <t xml:space="preserve">        非流动负债合计</t>
  </si>
  <si>
    <t xml:space="preserve">    在建工程</t>
  </si>
  <si>
    <t xml:space="preserve">            负债合计</t>
  </si>
  <si>
    <t xml:space="preserve">    工程物资</t>
  </si>
  <si>
    <t>股东权益:</t>
  </si>
  <si>
    <t xml:space="preserve">    固定资产清理</t>
  </si>
  <si>
    <t xml:space="preserve">    实收资本(股本)</t>
  </si>
  <si>
    <t xml:space="preserve">    无形资产</t>
  </si>
  <si>
    <t xml:space="preserve">    资本公积</t>
  </si>
  <si>
    <t xml:space="preserve">    开发支出</t>
  </si>
  <si>
    <t xml:space="preserve">    减:库存股</t>
  </si>
  <si>
    <t xml:space="preserve">    商誉</t>
  </si>
  <si>
    <t xml:space="preserve">    盈余公积</t>
  </si>
  <si>
    <t xml:space="preserve">    长期待摊费用</t>
  </si>
  <si>
    <t xml:space="preserve">    未分配利润</t>
  </si>
  <si>
    <t xml:space="preserve">    递延所得税资产</t>
  </si>
  <si>
    <t xml:space="preserve">    外币报表折算差额</t>
  </si>
  <si>
    <t xml:space="preserve">    其他非流动资产</t>
  </si>
  <si>
    <t xml:space="preserve">      非流动资产合计</t>
  </si>
  <si>
    <t xml:space="preserve">     股东权益合计</t>
  </si>
  <si>
    <t xml:space="preserve">         资产总计</t>
  </si>
  <si>
    <t xml:space="preserve">       负债和股东权益合计</t>
  </si>
  <si>
    <t>利润表</t>
  </si>
  <si>
    <t>2025年度</t>
  </si>
  <si>
    <t>会企02表</t>
  </si>
  <si>
    <t>项    目</t>
  </si>
  <si>
    <t>本期金额</t>
  </si>
  <si>
    <t>上期金额</t>
  </si>
  <si>
    <t>一、营业收入</t>
  </si>
  <si>
    <t xml:space="preserve">    减:营业成本</t>
  </si>
  <si>
    <t xml:space="preserve">        营业税金及附加</t>
  </si>
  <si>
    <t xml:space="preserve">        销售费用</t>
  </si>
  <si>
    <t xml:space="preserve">        管理费用</t>
  </si>
  <si>
    <t xml:space="preserve">        财务费用</t>
  </si>
  <si>
    <t xml:space="preserve">        资产减值损失</t>
  </si>
  <si>
    <t xml:space="preserve">    加:公允价值变动收益(损失以“-”号填列)</t>
  </si>
  <si>
    <t xml:space="preserve">        投资收益(损失以“-”号填列)</t>
  </si>
  <si>
    <t xml:space="preserve">        其中:对联营企业和合营企业的投资收益</t>
  </si>
  <si>
    <t xml:space="preserve">       其他收益</t>
  </si>
  <si>
    <t>二、营业利润（亏损以“-”号填列）</t>
  </si>
  <si>
    <t xml:space="preserve">    加：营业外收入</t>
  </si>
  <si>
    <t xml:space="preserve">    减：营业外支出</t>
  </si>
  <si>
    <t xml:space="preserve">        其中：非流动资产处置损失</t>
  </si>
  <si>
    <t>三、利润总额（亏损总额以“-”号填列）</t>
  </si>
  <si>
    <t xml:space="preserve">    减：所得税费用</t>
  </si>
  <si>
    <t>四、净利润（净亏损以“-”号填列）</t>
  </si>
  <si>
    <t xml:space="preserve">    加：年初未分配利润</t>
  </si>
  <si>
    <t xml:space="preserve">        年初未分配利润调整</t>
  </si>
  <si>
    <t>五、可供分配利润</t>
  </si>
  <si>
    <t xml:space="preserve">     减：提取法定盈余公积金</t>
  </si>
  <si>
    <t xml:space="preserve">         提取法定公益金</t>
  </si>
  <si>
    <t xml:space="preserve">     减：应付股利</t>
  </si>
  <si>
    <t>六、未分配利润</t>
  </si>
  <si>
    <t>现金流量表</t>
  </si>
  <si>
    <r>
      <rPr>
        <b/>
        <sz val="10"/>
        <rFont val="宋体"/>
        <charset val="1"/>
      </rPr>
      <t>会企</t>
    </r>
    <r>
      <rPr>
        <b/>
        <sz val="10"/>
        <rFont val="Times New Roman"/>
        <charset val="1"/>
      </rPr>
      <t>03</t>
    </r>
    <r>
      <rPr>
        <b/>
        <sz val="10"/>
        <rFont val="宋体"/>
        <charset val="1"/>
      </rPr>
      <t>表</t>
    </r>
  </si>
  <si>
    <t>一、经营活动产生的现金流量</t>
  </si>
  <si>
    <t xml:space="preserve">        销售商品、提供劳务收到的现金</t>
  </si>
  <si>
    <t xml:space="preserve">        收到的税费返还</t>
  </si>
  <si>
    <t xml:space="preserve">        收到其他与经营活动有关的现金</t>
  </si>
  <si>
    <t xml:space="preserve">     经营活动现金流入小计</t>
  </si>
  <si>
    <t xml:space="preserve">        购买商品、接受劳务支付的现金</t>
  </si>
  <si>
    <t xml:space="preserve">        支付给职工以及为职工支付的现金</t>
  </si>
  <si>
    <t xml:space="preserve">        支付的各项税费</t>
  </si>
  <si>
    <t xml:space="preserve">        支付其他与经营活动有关的现金</t>
  </si>
  <si>
    <t xml:space="preserve">    经营活动现金流出小计</t>
  </si>
  <si>
    <t xml:space="preserve">    经营活动产生的现金流量净额</t>
  </si>
  <si>
    <t>二、投资活动产生的现金流量：</t>
  </si>
  <si>
    <t xml:space="preserve">        收回投资收到的现金</t>
  </si>
  <si>
    <t xml:space="preserve">        取得投资收益收到的现金</t>
  </si>
  <si>
    <t xml:space="preserve">        处置固定资产、无形资产和其他长期资产收回的现金净额</t>
  </si>
  <si>
    <t xml:space="preserve">        处置子公司及其他营业单位收到的现金净额</t>
  </si>
  <si>
    <t xml:space="preserve">        收到其他与投资活动有关的现金</t>
  </si>
  <si>
    <t xml:space="preserve">    投资活动现金流入小计</t>
  </si>
  <si>
    <t xml:space="preserve">        购建固定资产、无形资产和其他长期资产支付的现金</t>
  </si>
  <si>
    <t xml:space="preserve">        投资支付的现金</t>
  </si>
  <si>
    <t xml:space="preserve">        取得子公司及其他营业单位支付的现金净额</t>
  </si>
  <si>
    <t xml:space="preserve">        支付其他与投资活动有关的现金</t>
  </si>
  <si>
    <t xml:space="preserve">    投资活动现金流出小计</t>
  </si>
  <si>
    <t xml:space="preserve">    投资活动产生的现金流量净额</t>
  </si>
  <si>
    <t>三、筹资活动产生的现金流量：</t>
  </si>
  <si>
    <t xml:space="preserve">        吸收投资收到的现金</t>
  </si>
  <si>
    <t xml:space="preserve">        取得借款收到的现金</t>
  </si>
  <si>
    <t xml:space="preserve">        收到其他与筹资活动有关的现金</t>
  </si>
  <si>
    <t xml:space="preserve">    筹资活动现金流入小计</t>
  </si>
  <si>
    <t xml:space="preserve">        偿还债务支付的现金</t>
  </si>
  <si>
    <t xml:space="preserve">        分配股利、利润或偿付利息支付的现金</t>
  </si>
  <si>
    <t xml:space="preserve">        支付其他与筹资活动有关的现金</t>
  </si>
  <si>
    <t xml:space="preserve">    筹资活动现金流出小计</t>
  </si>
  <si>
    <t xml:space="preserve">    筹资活动产生的现金流量净额</t>
  </si>
  <si>
    <t>四、汇率变动对现金及现金等价物的影响</t>
  </si>
  <si>
    <t>五、现金及现金等价物净增加额</t>
  </si>
  <si>
    <t xml:space="preserve">    加：期初现金及现金等价物余额</t>
  </si>
  <si>
    <t>六、期末现金及现金等价物余额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</si>
</sst>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name val="宋体"/>
      <charset val="1"/>
    </font>
    <font>
      <sz val="10"/>
      <name val="宋体"/>
      <charset val="1"/>
    </font>
    <font>
      <sz val="11"/>
      <name val="Times New Roman"/>
      <charset val="1"/>
    </font>
    <font>
      <b/>
      <sz val="16"/>
      <name val="宋体"/>
      <charset val="1"/>
    </font>
    <font>
      <b/>
      <sz val="10"/>
      <name val="宋体"/>
      <charset val="1"/>
    </font>
    <font>
      <sz val="10"/>
      <name val="Times New Roman"/>
      <charset val="1"/>
    </font>
    <font>
      <sz val="10"/>
      <name val="Times New Roman"/>
      <family val="1"/>
      <charset val="0"/>
    </font>
    <font>
      <b/>
      <sz val="11"/>
      <name val="宋体"/>
      <charset val="1"/>
    </font>
    <font>
      <b/>
      <sz val="10"/>
      <name val="Times New Roman"/>
      <charset val="1"/>
    </font>
    <font>
      <b/>
      <sz val="14"/>
      <name val="宋体"/>
      <charset val="1"/>
    </font>
    <font>
      <b/>
      <sz val="11"/>
      <name val="Times New Roman"/>
      <charset val="1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2" borderId="6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" borderId="9" applyNumberFormat="0" applyAlignment="0" applyProtection="0">
      <alignment vertical="center"/>
    </xf>
    <xf numFmtId="0" fontId="21" fillId="4" borderId="10" applyNumberFormat="0" applyAlignment="0" applyProtection="0">
      <alignment vertical="center"/>
    </xf>
    <xf numFmtId="0" fontId="22" fillId="4" borderId="9" applyNumberFormat="0" applyAlignment="0" applyProtection="0">
      <alignment vertical="center"/>
    </xf>
    <xf numFmtId="0" fontId="23" fillId="5" borderId="11" applyNumberFormat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0" fillId="0" borderId="0">
      <alignment vertical="top"/>
      <protection locked="0"/>
    </xf>
  </cellStyleXfs>
  <cellXfs count="33">
    <xf numFmtId="0" fontId="0" fillId="0" borderId="0" xfId="49" applyFont="1" applyFill="1" applyBorder="1" applyAlignment="1" applyProtection="1">
      <alignment vertical="top"/>
      <protection locked="0"/>
    </xf>
    <xf numFmtId="0" fontId="0" fillId="0" borderId="0" xfId="49" applyFont="1" applyFill="1" applyBorder="1" applyAlignment="1" applyProtection="1">
      <protection locked="0"/>
    </xf>
    <xf numFmtId="0" fontId="1" fillId="0" borderId="0" xfId="49" applyFont="1" applyFill="1" applyBorder="1" applyAlignment="1" applyProtection="1">
      <protection locked="0"/>
    </xf>
    <xf numFmtId="0" fontId="2" fillId="0" borderId="0" xfId="49" applyFont="1" applyFill="1" applyBorder="1" applyAlignment="1" applyProtection="1">
      <protection locked="0"/>
    </xf>
    <xf numFmtId="0" fontId="3" fillId="0" borderId="0" xfId="49" applyFont="1" applyFill="1" applyBorder="1" applyAlignment="1" applyProtection="1">
      <alignment horizontal="center" vertical="center"/>
      <protection locked="0"/>
    </xf>
    <xf numFmtId="0" fontId="4" fillId="0" borderId="0" xfId="49" applyFont="1" applyFill="1" applyBorder="1" applyAlignment="1" applyProtection="1">
      <alignment horizontal="center" vertical="center"/>
      <protection locked="0"/>
    </xf>
    <xf numFmtId="49" fontId="4" fillId="0" borderId="0" xfId="49" applyNumberFormat="1" applyFont="1" applyFill="1" applyBorder="1" applyAlignment="1" applyProtection="1">
      <alignment horizontal="center"/>
      <protection locked="0"/>
    </xf>
    <xf numFmtId="0" fontId="4" fillId="0" borderId="0" xfId="49" applyFont="1" applyFill="1" applyBorder="1" applyAlignment="1" applyProtection="1">
      <alignment horizontal="right"/>
      <protection locked="0"/>
    </xf>
    <xf numFmtId="0" fontId="4" fillId="0" borderId="0" xfId="49" applyFont="1" applyFill="1" applyBorder="1" applyAlignment="1" applyProtection="1">
      <alignment horizontal="left" vertical="center"/>
      <protection locked="0"/>
    </xf>
    <xf numFmtId="0" fontId="5" fillId="0" borderId="0" xfId="49" applyFont="1" applyFill="1" applyBorder="1" applyAlignment="1" applyProtection="1">
      <alignment horizontal="center"/>
      <protection locked="0"/>
    </xf>
    <xf numFmtId="0" fontId="4" fillId="0" borderId="1" xfId="49" applyFont="1" applyFill="1" applyBorder="1" applyAlignment="1" applyProtection="1">
      <alignment horizontal="center"/>
      <protection locked="0"/>
    </xf>
    <xf numFmtId="0" fontId="4" fillId="0" borderId="2" xfId="49" applyFont="1" applyFill="1" applyBorder="1" applyAlignment="1" applyProtection="1">
      <protection locked="0"/>
    </xf>
    <xf numFmtId="0" fontId="4" fillId="0" borderId="3" xfId="49" applyFont="1" applyFill="1" applyBorder="1" applyAlignment="1" applyProtection="1">
      <protection locked="0"/>
    </xf>
    <xf numFmtId="2" fontId="2" fillId="0" borderId="3" xfId="49" applyNumberFormat="1" applyFont="1" applyFill="1" applyBorder="1" applyAlignment="1" applyProtection="1">
      <protection locked="0"/>
    </xf>
    <xf numFmtId="0" fontId="1" fillId="0" borderId="2" xfId="49" applyFont="1" applyFill="1" applyBorder="1" applyAlignment="1" applyProtection="1">
      <protection locked="0"/>
    </xf>
    <xf numFmtId="43" fontId="5" fillId="0" borderId="3" xfId="49" applyNumberFormat="1" applyFont="1" applyFill="1" applyBorder="1" applyAlignment="1" applyProtection="1">
      <protection locked="0"/>
    </xf>
    <xf numFmtId="43" fontId="6" fillId="0" borderId="3" xfId="49" applyNumberFormat="1" applyFont="1" applyFill="1" applyBorder="1" applyAlignment="1" applyProtection="1">
      <protection locked="0"/>
    </xf>
    <xf numFmtId="4" fontId="5" fillId="0" borderId="3" xfId="49" applyNumberFormat="1" applyFont="1" applyFill="1" applyBorder="1" applyAlignment="1" applyProtection="1">
      <protection locked="0"/>
    </xf>
    <xf numFmtId="0" fontId="1" fillId="0" borderId="3" xfId="49" applyFont="1" applyFill="1" applyBorder="1" applyAlignment="1" applyProtection="1">
      <protection locked="0"/>
    </xf>
    <xf numFmtId="0" fontId="7" fillId="0" borderId="0" xfId="49" applyFont="1" applyFill="1" applyBorder="1" applyAlignment="1" applyProtection="1">
      <protection locked="0"/>
    </xf>
    <xf numFmtId="0" fontId="4" fillId="0" borderId="0" xfId="49" applyFont="1" applyFill="1" applyBorder="1" applyAlignment="1" applyProtection="1">
      <alignment horizontal="left"/>
      <protection locked="0"/>
    </xf>
    <xf numFmtId="43" fontId="8" fillId="0" borderId="3" xfId="49" applyNumberFormat="1" applyFont="1" applyFill="1" applyBorder="1" applyAlignment="1" applyProtection="1">
      <protection locked="0"/>
    </xf>
    <xf numFmtId="0" fontId="9" fillId="0" borderId="0" xfId="49" applyFont="1" applyFill="1" applyBorder="1" applyAlignment="1" applyProtection="1">
      <alignment horizontal="center" vertical="center"/>
      <protection locked="0"/>
    </xf>
    <xf numFmtId="0" fontId="10" fillId="0" borderId="0" xfId="49" applyFont="1" applyFill="1" applyBorder="1" applyAlignment="1" applyProtection="1">
      <protection locked="0"/>
    </xf>
    <xf numFmtId="31" fontId="8" fillId="0" borderId="0" xfId="49" applyNumberFormat="1" applyFont="1" applyFill="1" applyBorder="1" applyAlignment="1" applyProtection="1">
      <alignment horizontal="center" vertical="center"/>
      <protection locked="0"/>
    </xf>
    <xf numFmtId="0" fontId="4" fillId="0" borderId="0" xfId="49" applyFont="1" applyFill="1" applyBorder="1" applyAlignment="1" applyProtection="1">
      <alignment horizontal="right" vertical="center"/>
      <protection locked="0"/>
    </xf>
    <xf numFmtId="0" fontId="8" fillId="0" borderId="0" xfId="49" applyFont="1" applyFill="1" applyBorder="1" applyAlignment="1" applyProtection="1">
      <alignment horizontal="center"/>
      <protection locked="0"/>
    </xf>
    <xf numFmtId="0" fontId="4" fillId="0" borderId="0" xfId="49" applyFont="1" applyFill="1" applyBorder="1" applyAlignment="1" applyProtection="1">
      <alignment horizontal="center"/>
      <protection locked="0"/>
    </xf>
    <xf numFmtId="0" fontId="4" fillId="0" borderId="4" xfId="49" applyFont="1" applyFill="1" applyBorder="1" applyAlignment="1" applyProtection="1">
      <alignment horizontal="center"/>
      <protection locked="0"/>
    </xf>
    <xf numFmtId="0" fontId="8" fillId="0" borderId="4" xfId="49" applyFont="1" applyFill="1" applyBorder="1" applyAlignment="1" applyProtection="1">
      <alignment horizontal="center"/>
      <protection locked="0"/>
    </xf>
    <xf numFmtId="0" fontId="4" fillId="0" borderId="5" xfId="49" applyFont="1" applyFill="1" applyBorder="1" applyAlignment="1" applyProtection="1">
      <alignment horizontal="center"/>
      <protection locked="0"/>
    </xf>
    <xf numFmtId="0" fontId="0" fillId="0" borderId="2" xfId="49" applyFont="1" applyFill="1" applyBorder="1" applyAlignment="1" applyProtection="1">
      <protection locked="0"/>
    </xf>
    <xf numFmtId="0" fontId="0" fillId="0" borderId="3" xfId="49" applyFont="1" applyFill="1" applyBorder="1" applyAlignment="1" applyProtection="1">
      <protection locked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8"/>
  <sheetViews>
    <sheetView tabSelected="1" topLeftCell="A4" workbookViewId="0">
      <selection activeCell="B31" sqref="B31"/>
    </sheetView>
  </sheetViews>
  <sheetFormatPr defaultColWidth="8.56666666666667" defaultRowHeight="15" customHeight="1" outlineLevelCol="5"/>
  <cols>
    <col min="1" max="1" width="26.1833333333333" style="1" customWidth="1"/>
    <col min="2" max="2" width="17.75" style="3" customWidth="1"/>
    <col min="3" max="3" width="17.875" style="3" customWidth="1"/>
    <col min="4" max="4" width="28.1" style="1" customWidth="1"/>
    <col min="5" max="5" width="18.5" style="1" customWidth="1"/>
    <col min="6" max="6" width="18.25" style="1" customWidth="1"/>
    <col min="7" max="16380" width="8.56666666666667" style="1" customWidth="1"/>
    <col min="16381" max="16384" width="8.56666666666667" style="1"/>
  </cols>
  <sheetData>
    <row r="1" ht="26" customHeight="1" spans="1:6">
      <c r="A1" s="22" t="s">
        <v>0</v>
      </c>
      <c r="B1" s="23"/>
      <c r="C1" s="23"/>
      <c r="D1" s="19"/>
      <c r="E1" s="19"/>
      <c r="F1" s="19"/>
    </row>
    <row r="2" customHeight="1" spans="1:6">
      <c r="A2" s="19"/>
      <c r="B2" s="23"/>
      <c r="C2" s="24">
        <v>46022</v>
      </c>
      <c r="D2" s="19" t="s">
        <v>1</v>
      </c>
      <c r="E2" s="19"/>
      <c r="F2" s="25" t="s">
        <v>2</v>
      </c>
    </row>
    <row r="3" customHeight="1" spans="1:6">
      <c r="A3" s="8" t="s">
        <v>3</v>
      </c>
      <c r="B3" s="26" t="s">
        <v>4</v>
      </c>
      <c r="C3" s="26"/>
      <c r="D3" s="27"/>
      <c r="E3" s="27"/>
      <c r="F3" s="7" t="s">
        <v>5</v>
      </c>
    </row>
    <row r="4" ht="14" customHeight="1" spans="1:6">
      <c r="A4" s="28" t="s">
        <v>6</v>
      </c>
      <c r="B4" s="29" t="s">
        <v>7</v>
      </c>
      <c r="C4" s="29" t="s">
        <v>8</v>
      </c>
      <c r="D4" s="30" t="s">
        <v>9</v>
      </c>
      <c r="E4" s="30" t="s">
        <v>10</v>
      </c>
      <c r="F4" s="30" t="s">
        <v>11</v>
      </c>
    </row>
    <row r="5" ht="14" customHeight="1" spans="1:6">
      <c r="A5" s="14" t="s">
        <v>12</v>
      </c>
      <c r="B5" s="13"/>
      <c r="C5" s="13"/>
      <c r="D5" s="18" t="s">
        <v>13</v>
      </c>
      <c r="E5" s="13"/>
      <c r="F5" s="13"/>
    </row>
    <row r="6" ht="14" customHeight="1" spans="1:6">
      <c r="A6" s="14" t="s">
        <v>14</v>
      </c>
      <c r="B6" s="15">
        <v>8348135.18</v>
      </c>
      <c r="C6" s="15">
        <v>6593907.18</v>
      </c>
      <c r="D6" s="18" t="s">
        <v>15</v>
      </c>
      <c r="E6" s="15">
        <v>4900000</v>
      </c>
      <c r="F6" s="15">
        <v>2138229.51</v>
      </c>
    </row>
    <row r="7" ht="14" customHeight="1" spans="1:6">
      <c r="A7" s="14" t="s">
        <v>16</v>
      </c>
      <c r="B7" s="15">
        <v>0</v>
      </c>
      <c r="C7" s="15">
        <v>0</v>
      </c>
      <c r="D7" s="18" t="s">
        <v>17</v>
      </c>
      <c r="E7" s="15">
        <v>0</v>
      </c>
      <c r="F7" s="15">
        <v>0</v>
      </c>
    </row>
    <row r="8" ht="14" customHeight="1" spans="1:6">
      <c r="A8" s="14" t="s">
        <v>18</v>
      </c>
      <c r="B8" s="15">
        <v>0</v>
      </c>
      <c r="C8" s="15">
        <v>0</v>
      </c>
      <c r="D8" s="18" t="s">
        <v>19</v>
      </c>
      <c r="E8" s="15">
        <v>0</v>
      </c>
      <c r="F8" s="15">
        <v>0</v>
      </c>
    </row>
    <row r="9" ht="14" customHeight="1" spans="1:6">
      <c r="A9" s="14" t="s">
        <v>20</v>
      </c>
      <c r="B9" s="15">
        <v>9006057.34</v>
      </c>
      <c r="C9" s="15">
        <v>8831394.89</v>
      </c>
      <c r="D9" s="18" t="s">
        <v>21</v>
      </c>
      <c r="E9" s="15">
        <v>1372356.41</v>
      </c>
      <c r="F9" s="15">
        <v>692356.41</v>
      </c>
    </row>
    <row r="10" ht="14" customHeight="1" spans="1:6">
      <c r="A10" s="14" t="s">
        <v>22</v>
      </c>
      <c r="B10" s="15">
        <v>0</v>
      </c>
      <c r="C10" s="15">
        <v>0</v>
      </c>
      <c r="D10" s="18" t="s">
        <v>23</v>
      </c>
      <c r="E10" s="15">
        <v>6365411.56</v>
      </c>
      <c r="F10" s="15">
        <v>6504861.62</v>
      </c>
    </row>
    <row r="11" ht="14" customHeight="1" spans="1:6">
      <c r="A11" s="14" t="s">
        <v>24</v>
      </c>
      <c r="B11" s="15">
        <v>0</v>
      </c>
      <c r="C11" s="15">
        <v>0</v>
      </c>
      <c r="D11" s="18" t="s">
        <v>25</v>
      </c>
      <c r="E11" s="15">
        <v>3434255.87</v>
      </c>
      <c r="F11" s="15">
        <v>3016843.83</v>
      </c>
    </row>
    <row r="12" ht="14" customHeight="1" spans="1:6">
      <c r="A12" s="14" t="s">
        <v>26</v>
      </c>
      <c r="B12" s="15">
        <v>0</v>
      </c>
      <c r="C12" s="15">
        <v>0</v>
      </c>
      <c r="D12" s="18" t="s">
        <v>27</v>
      </c>
      <c r="E12" s="15">
        <v>663197.25</v>
      </c>
      <c r="F12" s="15">
        <v>1685233.56</v>
      </c>
    </row>
    <row r="13" ht="14" customHeight="1" spans="1:6">
      <c r="A13" s="14" t="s">
        <v>28</v>
      </c>
      <c r="B13" s="15">
        <v>27649479.69</v>
      </c>
      <c r="C13" s="15">
        <v>28129625.83</v>
      </c>
      <c r="D13" s="18" t="s">
        <v>29</v>
      </c>
      <c r="E13" s="15">
        <v>0</v>
      </c>
      <c r="F13" s="15">
        <v>0</v>
      </c>
    </row>
    <row r="14" ht="14" customHeight="1" spans="1:6">
      <c r="A14" s="14" t="s">
        <v>30</v>
      </c>
      <c r="B14" s="15"/>
      <c r="C14" s="15">
        <v>15221.16</v>
      </c>
      <c r="D14" s="18" t="s">
        <v>31</v>
      </c>
      <c r="E14" s="15">
        <v>0</v>
      </c>
      <c r="F14" s="15">
        <v>0</v>
      </c>
    </row>
    <row r="15" ht="14" customHeight="1" spans="1:6">
      <c r="A15" s="14" t="s">
        <v>32</v>
      </c>
      <c r="B15" s="15"/>
      <c r="C15" s="15"/>
      <c r="D15" s="18" t="s">
        <v>33</v>
      </c>
      <c r="E15" s="15">
        <v>18384527.6</v>
      </c>
      <c r="F15" s="15">
        <v>18844264.22</v>
      </c>
    </row>
    <row r="16" ht="14" customHeight="1" spans="1:6">
      <c r="A16" s="14" t="s">
        <v>34</v>
      </c>
      <c r="B16" s="15">
        <v>0</v>
      </c>
      <c r="C16" s="15">
        <v>0</v>
      </c>
      <c r="D16" s="18" t="s">
        <v>35</v>
      </c>
      <c r="E16" s="15"/>
      <c r="F16" s="15"/>
    </row>
    <row r="17" ht="14" customHeight="1" spans="1:6">
      <c r="A17" s="11" t="s">
        <v>36</v>
      </c>
      <c r="B17" s="21">
        <f>SUM(B6:B16)</f>
        <v>45003672.21</v>
      </c>
      <c r="C17" s="21">
        <f>SUM(C6:C16)</f>
        <v>43570149.06</v>
      </c>
      <c r="D17" s="18" t="s">
        <v>37</v>
      </c>
      <c r="E17" s="15">
        <v>0</v>
      </c>
      <c r="F17" s="15">
        <v>0</v>
      </c>
    </row>
    <row r="18" ht="14" customHeight="1" spans="1:6">
      <c r="A18" s="31"/>
      <c r="B18" s="15"/>
      <c r="C18" s="15"/>
      <c r="D18" s="12" t="s">
        <v>38</v>
      </c>
      <c r="E18" s="21">
        <f>SUM(E6:E17)</f>
        <v>35119748.69</v>
      </c>
      <c r="F18" s="21">
        <f>SUM(F6:F17)</f>
        <v>32881789.15</v>
      </c>
    </row>
    <row r="19" ht="14" customHeight="1" spans="1:6">
      <c r="A19" s="14" t="s">
        <v>39</v>
      </c>
      <c r="B19" s="15"/>
      <c r="C19" s="15"/>
      <c r="D19" s="18" t="s">
        <v>40</v>
      </c>
      <c r="E19" s="15"/>
      <c r="F19" s="15"/>
    </row>
    <row r="20" ht="14" customHeight="1" spans="1:6">
      <c r="A20" s="14" t="s">
        <v>41</v>
      </c>
      <c r="B20" s="15">
        <v>0</v>
      </c>
      <c r="C20" s="15">
        <v>0</v>
      </c>
      <c r="D20" s="18" t="s">
        <v>42</v>
      </c>
      <c r="E20" s="15">
        <v>0</v>
      </c>
      <c r="F20" s="15">
        <v>0</v>
      </c>
    </row>
    <row r="21" ht="14" customHeight="1" spans="1:6">
      <c r="A21" s="14" t="s">
        <v>43</v>
      </c>
      <c r="B21" s="15">
        <v>0</v>
      </c>
      <c r="C21" s="15">
        <v>0</v>
      </c>
      <c r="D21" s="18" t="s">
        <v>44</v>
      </c>
      <c r="E21" s="15">
        <v>0</v>
      </c>
      <c r="F21" s="15">
        <v>0</v>
      </c>
    </row>
    <row r="22" ht="14" customHeight="1" spans="1:6">
      <c r="A22" s="14" t="s">
        <v>45</v>
      </c>
      <c r="B22" s="15">
        <v>0</v>
      </c>
      <c r="C22" s="15">
        <v>0</v>
      </c>
      <c r="D22" s="18" t="s">
        <v>46</v>
      </c>
      <c r="E22" s="15">
        <v>0</v>
      </c>
      <c r="F22" s="15">
        <v>0</v>
      </c>
    </row>
    <row r="23" ht="14" customHeight="1" spans="1:6">
      <c r="A23" s="14" t="s">
        <v>47</v>
      </c>
      <c r="B23" s="15">
        <v>20965805.44</v>
      </c>
      <c r="C23" s="15">
        <v>18310905.44</v>
      </c>
      <c r="D23" s="18" t="s">
        <v>48</v>
      </c>
      <c r="E23" s="15">
        <v>0</v>
      </c>
      <c r="F23" s="15">
        <v>0</v>
      </c>
    </row>
    <row r="24" ht="14" customHeight="1" spans="1:6">
      <c r="A24" s="14" t="s">
        <v>49</v>
      </c>
      <c r="B24" s="15">
        <v>0</v>
      </c>
      <c r="C24" s="15">
        <v>0</v>
      </c>
      <c r="D24" s="18" t="s">
        <v>50</v>
      </c>
      <c r="E24" s="15">
        <v>0</v>
      </c>
      <c r="F24" s="15">
        <v>0</v>
      </c>
    </row>
    <row r="25" ht="14" customHeight="1" spans="1:6">
      <c r="A25" s="14" t="s">
        <v>51</v>
      </c>
      <c r="B25" s="15">
        <f>B26-B27</f>
        <v>1854257.79</v>
      </c>
      <c r="C25" s="15">
        <f>C26-C27</f>
        <v>2028148.34</v>
      </c>
      <c r="D25" s="18" t="s">
        <v>52</v>
      </c>
      <c r="E25" s="15">
        <v>0</v>
      </c>
      <c r="F25" s="15">
        <v>0</v>
      </c>
    </row>
    <row r="26" ht="14" customHeight="1" spans="1:6">
      <c r="A26" s="14" t="s">
        <v>53</v>
      </c>
      <c r="B26" s="15">
        <v>5422893.94</v>
      </c>
      <c r="C26" s="15">
        <v>5122458.91</v>
      </c>
      <c r="D26" s="18" t="s">
        <v>54</v>
      </c>
      <c r="E26" s="15"/>
      <c r="F26" s="15"/>
    </row>
    <row r="27" ht="14" customHeight="1" spans="1:6">
      <c r="A27" s="14" t="s">
        <v>55</v>
      </c>
      <c r="B27" s="15">
        <v>3568636.15</v>
      </c>
      <c r="C27" s="15">
        <v>3094310.57</v>
      </c>
      <c r="D27" s="12" t="s">
        <v>56</v>
      </c>
      <c r="E27" s="21">
        <f>SUM(E20:E26)</f>
        <v>0</v>
      </c>
      <c r="F27" s="21">
        <f>SUM(F20:F26)</f>
        <v>0</v>
      </c>
    </row>
    <row r="28" ht="14" customHeight="1" spans="1:6">
      <c r="A28" s="14" t="s">
        <v>57</v>
      </c>
      <c r="B28" s="15">
        <v>0</v>
      </c>
      <c r="C28" s="15">
        <v>0</v>
      </c>
      <c r="D28" s="12" t="s">
        <v>58</v>
      </c>
      <c r="E28" s="21">
        <f>E18+E27</f>
        <v>35119748.69</v>
      </c>
      <c r="F28" s="21">
        <f>F18+F27</f>
        <v>32881789.15</v>
      </c>
    </row>
    <row r="29" ht="14" customHeight="1" spans="1:6">
      <c r="A29" s="14" t="s">
        <v>59</v>
      </c>
      <c r="B29" s="15">
        <v>0</v>
      </c>
      <c r="C29" s="15">
        <v>0</v>
      </c>
      <c r="D29" s="18" t="s">
        <v>60</v>
      </c>
      <c r="E29" s="15"/>
      <c r="F29" s="15"/>
    </row>
    <row r="30" ht="14" customHeight="1" spans="1:6">
      <c r="A30" s="14" t="s">
        <v>61</v>
      </c>
      <c r="B30" s="15">
        <v>0</v>
      </c>
      <c r="C30" s="15">
        <v>0</v>
      </c>
      <c r="D30" s="18" t="s">
        <v>62</v>
      </c>
      <c r="E30" s="15">
        <v>10000000</v>
      </c>
      <c r="F30" s="15">
        <v>10000000</v>
      </c>
    </row>
    <row r="31" ht="14" customHeight="1" spans="1:6">
      <c r="A31" s="14" t="s">
        <v>63</v>
      </c>
      <c r="B31" s="15">
        <v>52089.67</v>
      </c>
      <c r="C31" s="15">
        <v>0</v>
      </c>
      <c r="D31" s="18" t="s">
        <v>64</v>
      </c>
      <c r="E31" s="15">
        <v>0</v>
      </c>
      <c r="F31" s="15">
        <v>0</v>
      </c>
    </row>
    <row r="32" ht="14" customHeight="1" spans="1:6">
      <c r="A32" s="14" t="s">
        <v>65</v>
      </c>
      <c r="B32" s="15">
        <v>0</v>
      </c>
      <c r="C32" s="15">
        <v>0</v>
      </c>
      <c r="D32" s="18" t="s">
        <v>66</v>
      </c>
      <c r="E32" s="15">
        <v>0</v>
      </c>
      <c r="F32" s="15">
        <v>0</v>
      </c>
    </row>
    <row r="33" ht="14" customHeight="1" spans="1:6">
      <c r="A33" s="14" t="s">
        <v>67</v>
      </c>
      <c r="B33" s="15">
        <v>0</v>
      </c>
      <c r="C33" s="15">
        <v>0</v>
      </c>
      <c r="D33" s="18" t="s">
        <v>68</v>
      </c>
      <c r="E33" s="15">
        <v>0</v>
      </c>
      <c r="F33" s="15">
        <v>0</v>
      </c>
    </row>
    <row r="34" ht="14" customHeight="1" spans="1:6">
      <c r="A34" s="14" t="s">
        <v>69</v>
      </c>
      <c r="B34" s="15">
        <v>0</v>
      </c>
      <c r="C34" s="15">
        <v>0</v>
      </c>
      <c r="D34" s="18" t="s">
        <v>70</v>
      </c>
      <c r="E34" s="15">
        <v>22756076.42</v>
      </c>
      <c r="F34" s="15">
        <v>21027413.69</v>
      </c>
    </row>
    <row r="35" ht="14" customHeight="1" spans="1:6">
      <c r="A35" s="14" t="s">
        <v>71</v>
      </c>
      <c r="B35" s="15">
        <v>0</v>
      </c>
      <c r="C35" s="15">
        <v>0</v>
      </c>
      <c r="D35" s="18" t="s">
        <v>72</v>
      </c>
      <c r="E35" s="15"/>
      <c r="F35" s="15"/>
    </row>
    <row r="36" ht="14" customHeight="1" spans="1:6">
      <c r="A36" s="14" t="s">
        <v>73</v>
      </c>
      <c r="B36" s="15">
        <v>0</v>
      </c>
      <c r="C36" s="15">
        <v>0</v>
      </c>
      <c r="D36" s="32"/>
      <c r="E36" s="15"/>
      <c r="F36" s="15"/>
    </row>
    <row r="37" ht="14" customHeight="1" spans="1:6">
      <c r="A37" s="11" t="s">
        <v>74</v>
      </c>
      <c r="B37" s="21">
        <f>SUM(B20:B35)-B26-B27</f>
        <v>22872152.9</v>
      </c>
      <c r="C37" s="21">
        <f>SUM(C20:C35)-C26-C27</f>
        <v>20339053.78</v>
      </c>
      <c r="D37" s="12" t="s">
        <v>75</v>
      </c>
      <c r="E37" s="21">
        <f>SUM(E30:E36)</f>
        <v>32756076.42</v>
      </c>
      <c r="F37" s="21">
        <f>SUM(F30:F36)</f>
        <v>31027413.69</v>
      </c>
    </row>
    <row r="38" ht="14" customHeight="1" spans="1:6">
      <c r="A38" s="11" t="s">
        <v>76</v>
      </c>
      <c r="B38" s="21">
        <f>B17+B37</f>
        <v>67875825.11</v>
      </c>
      <c r="C38" s="21">
        <f>C17+C37</f>
        <v>63909202.84</v>
      </c>
      <c r="D38" s="12" t="s">
        <v>77</v>
      </c>
      <c r="E38" s="21">
        <f>E28+E37</f>
        <v>67875825.11</v>
      </c>
      <c r="F38" s="21">
        <f>F28+F37</f>
        <v>63909202.84</v>
      </c>
    </row>
  </sheetData>
  <mergeCells count="3">
    <mergeCell ref="A1:F1"/>
    <mergeCell ref="C2:D2"/>
    <mergeCell ref="A3:C3"/>
  </mergeCells>
  <pageMargins left="0.984027777777778" right="0.9375" top="0.156944444444444" bottom="0.118055555555556" header="0.118055555555556" footer="0.0784722222222222"/>
  <pageSetup paperSize="9" orientation="landscape" blackAndWhite="1" useFirstPageNumber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9"/>
  <sheetViews>
    <sheetView topLeftCell="A13" workbookViewId="0">
      <selection activeCell="F25" sqref="F25"/>
    </sheetView>
  </sheetViews>
  <sheetFormatPr defaultColWidth="8.56666666666667" defaultRowHeight="15" customHeight="1" outlineLevelCol="2"/>
  <cols>
    <col min="1" max="1" width="40.7166666666667" style="1" customWidth="1"/>
    <col min="2" max="2" width="19.375" style="1" customWidth="1"/>
    <col min="3" max="3" width="20" style="1" customWidth="1"/>
    <col min="4" max="4" width="8.56666666666667" style="1" customWidth="1"/>
    <col min="5" max="5" width="13.375" style="1" customWidth="1"/>
    <col min="6" max="16380" width="8.56666666666667" style="1" customWidth="1"/>
    <col min="16381" max="16384" width="8.56666666666667" style="1"/>
  </cols>
  <sheetData>
    <row r="1" ht="26" customHeight="1" spans="1:3">
      <c r="A1" s="4" t="s">
        <v>78</v>
      </c>
      <c r="B1" s="4"/>
      <c r="C1" s="19"/>
    </row>
    <row r="2" customHeight="1" spans="1:3">
      <c r="B2" s="6" t="s">
        <v>79</v>
      </c>
      <c r="C2" s="7" t="s">
        <v>80</v>
      </c>
    </row>
    <row r="3" customHeight="1" spans="1:3">
      <c r="A3" s="20" t="s">
        <v>3</v>
      </c>
      <c r="B3" s="20"/>
      <c r="C3" s="7" t="s">
        <v>5</v>
      </c>
    </row>
    <row r="4" ht="23" customHeight="1" spans="1:3">
      <c r="A4" s="10" t="s">
        <v>81</v>
      </c>
      <c r="B4" s="10" t="s">
        <v>82</v>
      </c>
      <c r="C4" s="10" t="s">
        <v>83</v>
      </c>
    </row>
    <row r="5" ht="23" customHeight="1" spans="1:3">
      <c r="A5" s="11" t="s">
        <v>84</v>
      </c>
      <c r="B5" s="21">
        <v>50643982.01</v>
      </c>
      <c r="C5" s="21">
        <v>55153939.28</v>
      </c>
    </row>
    <row r="6" ht="23" customHeight="1" spans="1:3">
      <c r="A6" s="14" t="s">
        <v>85</v>
      </c>
      <c r="B6" s="15">
        <v>36977950.71</v>
      </c>
      <c r="C6" s="15">
        <v>38116438.88</v>
      </c>
    </row>
    <row r="7" ht="23" customHeight="1" spans="1:3">
      <c r="A7" s="14" t="s">
        <v>86</v>
      </c>
      <c r="B7" s="15">
        <v>280190.5</v>
      </c>
      <c r="C7" s="15">
        <v>455575.91</v>
      </c>
    </row>
    <row r="8" ht="23" customHeight="1" spans="1:3">
      <c r="A8" s="14" t="s">
        <v>87</v>
      </c>
      <c r="B8" s="15">
        <v>0</v>
      </c>
      <c r="C8" s="15">
        <v>0</v>
      </c>
    </row>
    <row r="9" ht="23" customHeight="1" spans="1:3">
      <c r="A9" s="14" t="s">
        <v>88</v>
      </c>
      <c r="B9" s="15">
        <v>12325628.73</v>
      </c>
      <c r="C9" s="15">
        <v>11119911.83</v>
      </c>
    </row>
    <row r="10" ht="23" customHeight="1" spans="1:3">
      <c r="A10" s="14" t="s">
        <v>89</v>
      </c>
      <c r="B10" s="15">
        <v>200342.84</v>
      </c>
      <c r="C10" s="15">
        <v>168801.95</v>
      </c>
    </row>
    <row r="11" ht="23" customHeight="1" spans="1:3">
      <c r="A11" s="14" t="s">
        <v>90</v>
      </c>
      <c r="B11" s="15"/>
      <c r="C11" s="15">
        <v>0</v>
      </c>
    </row>
    <row r="12" ht="23" customHeight="1" spans="1:3">
      <c r="A12" s="14" t="s">
        <v>91</v>
      </c>
      <c r="B12" s="15"/>
      <c r="C12" s="15">
        <v>0</v>
      </c>
    </row>
    <row r="13" ht="23" customHeight="1" spans="1:3">
      <c r="A13" s="14" t="s">
        <v>92</v>
      </c>
      <c r="B13" s="15">
        <v>1523742.8</v>
      </c>
      <c r="C13" s="15">
        <v>650000</v>
      </c>
    </row>
    <row r="14" ht="23" customHeight="1" spans="1:3">
      <c r="A14" s="14" t="s">
        <v>93</v>
      </c>
      <c r="B14" s="15"/>
      <c r="C14" s="15"/>
    </row>
    <row r="15" ht="23" customHeight="1" spans="1:3">
      <c r="A15" s="14" t="s">
        <v>94</v>
      </c>
      <c r="B15" s="15"/>
      <c r="C15" s="15">
        <v>0</v>
      </c>
    </row>
    <row r="16" ht="23" customHeight="1" spans="1:3">
      <c r="A16" s="11" t="s">
        <v>95</v>
      </c>
      <c r="B16" s="21">
        <f>B5-B6-B7-B8-B9-B10-B11+B12+B13+B15</f>
        <v>2383612.03</v>
      </c>
      <c r="C16" s="21">
        <f>C5-C6-C7-C8-C9-C10-C11+C12+C13+C15</f>
        <v>5943210.71</v>
      </c>
    </row>
    <row r="17" ht="23" customHeight="1" spans="1:3">
      <c r="A17" s="14" t="s">
        <v>96</v>
      </c>
      <c r="B17" s="18"/>
      <c r="C17" s="15">
        <v>0</v>
      </c>
    </row>
    <row r="18" ht="23" customHeight="1" spans="1:3">
      <c r="A18" s="14" t="s">
        <v>97</v>
      </c>
      <c r="B18" s="15">
        <v>444182</v>
      </c>
      <c r="C18" s="15">
        <v>4493</v>
      </c>
    </row>
    <row r="19" ht="23" customHeight="1" spans="1:3">
      <c r="A19" s="14" t="s">
        <v>98</v>
      </c>
      <c r="B19" s="18"/>
      <c r="C19" s="15"/>
    </row>
    <row r="20" ht="23" customHeight="1" spans="1:3">
      <c r="A20" s="11" t="s">
        <v>99</v>
      </c>
      <c r="B20" s="21">
        <f>B16+B17-B18</f>
        <v>1939430.03</v>
      </c>
      <c r="C20" s="21">
        <f>C16+C17-C18</f>
        <v>5938717.71</v>
      </c>
    </row>
    <row r="21" ht="23" customHeight="1" spans="1:3">
      <c r="A21" s="14" t="s">
        <v>100</v>
      </c>
      <c r="B21" s="15">
        <v>210767.3</v>
      </c>
      <c r="C21" s="15">
        <v>593871.77</v>
      </c>
    </row>
    <row r="22" ht="23" customHeight="1" spans="1:3">
      <c r="A22" s="11" t="s">
        <v>101</v>
      </c>
      <c r="B22" s="21">
        <f>B20-B21</f>
        <v>1728662.73</v>
      </c>
      <c r="C22" s="21">
        <f>C20-C21</f>
        <v>5344845.94</v>
      </c>
    </row>
    <row r="23" ht="23" customHeight="1" spans="1:3">
      <c r="A23" s="14" t="s">
        <v>102</v>
      </c>
      <c r="B23" s="15">
        <v>21027413.69</v>
      </c>
      <c r="C23" s="15">
        <v>15682567.75</v>
      </c>
    </row>
    <row r="24" ht="23" customHeight="1" spans="1:3">
      <c r="A24" s="14" t="s">
        <v>103</v>
      </c>
      <c r="B24" s="18"/>
      <c r="C24" s="15">
        <v>0</v>
      </c>
    </row>
    <row r="25" ht="23" customHeight="1" spans="1:3">
      <c r="A25" s="11" t="s">
        <v>104</v>
      </c>
      <c r="B25" s="21">
        <f>SUM(B22+B23+B24)</f>
        <v>22756076.42</v>
      </c>
      <c r="C25" s="21">
        <f>SUM(C22+C23+C24)</f>
        <v>21027413.69</v>
      </c>
    </row>
    <row r="26" ht="23" customHeight="1" spans="1:3">
      <c r="A26" s="14" t="s">
        <v>105</v>
      </c>
      <c r="B26" s="18"/>
      <c r="C26" s="15"/>
    </row>
    <row r="27" ht="23" customHeight="1" spans="1:3">
      <c r="A27" s="14" t="s">
        <v>106</v>
      </c>
      <c r="B27" s="18"/>
      <c r="C27" s="15"/>
    </row>
    <row r="28" ht="23" customHeight="1" spans="1:3">
      <c r="A28" s="14" t="s">
        <v>107</v>
      </c>
      <c r="B28" s="18"/>
      <c r="C28" s="15"/>
    </row>
    <row r="29" ht="23" customHeight="1" spans="1:3">
      <c r="A29" s="11" t="s">
        <v>108</v>
      </c>
      <c r="B29" s="21">
        <f>B22+B23+B24</f>
        <v>22756076.42</v>
      </c>
      <c r="C29" s="21">
        <f>C22+C23+C24</f>
        <v>21027413.69</v>
      </c>
    </row>
  </sheetData>
  <mergeCells count="1">
    <mergeCell ref="A1:C1"/>
  </mergeCells>
  <printOptions horizontalCentered="1" verticalCentered="1"/>
  <pageMargins left="0.354166666666667" right="0.236111111111111" top="0.629861111111111" bottom="0.9875" header="0.416666666666667" footer="0.416666666666667"/>
  <pageSetup paperSize="9" orientation="portrait" blackAndWhite="1" useFirstPageNumber="1" horizont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2"/>
  <sheetViews>
    <sheetView topLeftCell="A13" workbookViewId="0">
      <selection activeCell="B42" sqref="B42"/>
    </sheetView>
  </sheetViews>
  <sheetFormatPr defaultColWidth="8.56666666666667" defaultRowHeight="15" customHeight="1" outlineLevelCol="2"/>
  <cols>
    <col min="1" max="1" width="54.3583333333333" style="1" customWidth="1"/>
    <col min="2" max="2" width="16.5" style="2" customWidth="1"/>
    <col min="3" max="3" width="21.375" style="3" customWidth="1"/>
    <col min="4" max="16380" width="8.56666666666667" style="1" customWidth="1"/>
    <col min="16381" max="16384" width="8.56666666666667" style="1"/>
  </cols>
  <sheetData>
    <row r="1" ht="24" customHeight="1" spans="1:3">
      <c r="A1" s="4" t="s">
        <v>109</v>
      </c>
      <c r="B1" s="5"/>
    </row>
    <row r="2" customHeight="1" spans="1:3">
      <c r="A2" s="6" t="s">
        <v>79</v>
      </c>
      <c r="B2" s="6"/>
      <c r="C2" s="7" t="s">
        <v>110</v>
      </c>
    </row>
    <row r="3" customHeight="1" spans="1:3">
      <c r="A3" s="8" t="s">
        <v>3</v>
      </c>
      <c r="B3" s="8"/>
      <c r="C3" s="9"/>
    </row>
    <row r="4" ht="16" customHeight="1" spans="1:3">
      <c r="A4" s="10" t="s">
        <v>81</v>
      </c>
      <c r="B4" s="10" t="s">
        <v>82</v>
      </c>
      <c r="C4" s="10" t="s">
        <v>82</v>
      </c>
    </row>
    <row r="5" ht="16" customHeight="1" spans="1:3">
      <c r="A5" s="11" t="s">
        <v>111</v>
      </c>
      <c r="B5" s="12"/>
      <c r="C5" s="13"/>
    </row>
    <row r="6" ht="16" customHeight="1" spans="1:3">
      <c r="A6" s="14" t="s">
        <v>112</v>
      </c>
      <c r="B6" s="15">
        <v>45150971.15</v>
      </c>
      <c r="C6" s="16">
        <v>53106899.56</v>
      </c>
    </row>
    <row r="7" ht="16" customHeight="1" spans="1:3">
      <c r="A7" s="14" t="s">
        <v>113</v>
      </c>
      <c r="B7" s="15"/>
      <c r="C7" s="16">
        <v>0.09</v>
      </c>
    </row>
    <row r="8" ht="16" customHeight="1" spans="1:3">
      <c r="A8" s="14" t="s">
        <v>114</v>
      </c>
      <c r="B8" s="15">
        <v>39630004.75</v>
      </c>
      <c r="C8" s="16">
        <v>3783925.08</v>
      </c>
    </row>
    <row r="9" ht="16" customHeight="1" spans="1:3">
      <c r="A9" s="14" t="s">
        <v>115</v>
      </c>
      <c r="B9" s="15">
        <f>SUM(B6:B8)</f>
        <v>84780975.9</v>
      </c>
      <c r="C9" s="15">
        <f>SUM(C6:C8)</f>
        <v>56890824.73</v>
      </c>
    </row>
    <row r="10" ht="16" customHeight="1" spans="1:3">
      <c r="A10" s="14" t="s">
        <v>116</v>
      </c>
      <c r="B10" s="17">
        <v>20540382.15</v>
      </c>
      <c r="C10" s="16">
        <v>21818969.53</v>
      </c>
    </row>
    <row r="11" ht="16" customHeight="1" spans="1:3">
      <c r="A11" s="14" t="s">
        <v>117</v>
      </c>
      <c r="B11" s="17">
        <v>13948168.43</v>
      </c>
      <c r="C11" s="16">
        <v>12592937.9</v>
      </c>
    </row>
    <row r="12" ht="16" customHeight="1" spans="1:3">
      <c r="A12" s="14" t="s">
        <v>118</v>
      </c>
      <c r="B12" s="17">
        <v>3395451.93</v>
      </c>
      <c r="C12" s="16">
        <v>2853557.64</v>
      </c>
    </row>
    <row r="13" ht="16" customHeight="1" spans="1:3">
      <c r="A13" s="14" t="s">
        <v>119</v>
      </c>
      <c r="B13" s="17">
        <v>46236171.7</v>
      </c>
      <c r="C13" s="16">
        <v>15091551.52</v>
      </c>
    </row>
    <row r="14" ht="16" customHeight="1" spans="1:3">
      <c r="A14" s="14" t="s">
        <v>120</v>
      </c>
      <c r="B14" s="15">
        <f>SUM(B10:B13)</f>
        <v>84120174.21</v>
      </c>
      <c r="C14" s="15">
        <f>SUM(C10:C13)</f>
        <v>52357016.59</v>
      </c>
    </row>
    <row r="15" ht="16" customHeight="1" spans="1:3">
      <c r="A15" s="14" t="s">
        <v>121</v>
      </c>
      <c r="B15" s="15">
        <f>B9-B14</f>
        <v>660801.689999998</v>
      </c>
      <c r="C15" s="15">
        <f>C9-C14</f>
        <v>4533808.14</v>
      </c>
    </row>
    <row r="16" ht="16" customHeight="1" spans="1:3">
      <c r="A16" s="11" t="s">
        <v>122</v>
      </c>
      <c r="B16" s="12"/>
      <c r="C16" s="15"/>
    </row>
    <row r="17" ht="16" customHeight="1" spans="1:3">
      <c r="A17" s="14" t="s">
        <v>123</v>
      </c>
      <c r="B17" s="15"/>
      <c r="C17" s="16">
        <v>245000</v>
      </c>
    </row>
    <row r="18" ht="16" customHeight="1" spans="1:3">
      <c r="A18" s="14" t="s">
        <v>124</v>
      </c>
      <c r="B18" s="15">
        <v>1523742.8</v>
      </c>
      <c r="C18" s="16">
        <v>650000</v>
      </c>
    </row>
    <row r="19" ht="16" customHeight="1" spans="1:3">
      <c r="A19" s="14" t="s">
        <v>125</v>
      </c>
      <c r="B19" s="15"/>
      <c r="C19" s="15">
        <v>0</v>
      </c>
    </row>
    <row r="20" ht="16" customHeight="1" spans="1:3">
      <c r="A20" s="14" t="s">
        <v>126</v>
      </c>
      <c r="B20" s="15"/>
      <c r="C20" s="15">
        <v>0</v>
      </c>
    </row>
    <row r="21" ht="16" customHeight="1" spans="1:3">
      <c r="A21" s="14" t="s">
        <v>127</v>
      </c>
      <c r="B21" s="15"/>
      <c r="C21" s="15">
        <v>0</v>
      </c>
    </row>
    <row r="22" ht="16" customHeight="1" spans="1:3">
      <c r="A22" s="14" t="s">
        <v>128</v>
      </c>
      <c r="B22" s="15">
        <f>SUM(B17:B21)</f>
        <v>1523742.8</v>
      </c>
      <c r="C22" s="15">
        <f>SUM(C17:C21)</f>
        <v>895000</v>
      </c>
    </row>
    <row r="23" ht="16" customHeight="1" spans="1:3">
      <c r="A23" s="14" t="s">
        <v>129</v>
      </c>
      <c r="B23" s="15">
        <v>352524.7</v>
      </c>
      <c r="C23" s="16">
        <v>1529885.28</v>
      </c>
    </row>
    <row r="24" ht="16" customHeight="1" spans="1:3">
      <c r="A24" s="14" t="s">
        <v>130</v>
      </c>
      <c r="B24" s="15">
        <v>2654900</v>
      </c>
      <c r="C24" s="16">
        <v>516905.44</v>
      </c>
    </row>
    <row r="25" ht="16" customHeight="1" spans="1:3">
      <c r="A25" s="14" t="s">
        <v>131</v>
      </c>
      <c r="B25" s="15"/>
      <c r="C25" s="15">
        <v>0</v>
      </c>
    </row>
    <row r="26" ht="16" customHeight="1" spans="1:3">
      <c r="A26" s="14" t="s">
        <v>132</v>
      </c>
      <c r="B26" s="18"/>
      <c r="C26" s="15">
        <v>0</v>
      </c>
    </row>
    <row r="27" ht="16" customHeight="1" spans="1:3">
      <c r="A27" s="14" t="s">
        <v>133</v>
      </c>
      <c r="B27" s="15">
        <f>SUM(B23:B26)</f>
        <v>3007424.7</v>
      </c>
      <c r="C27" s="15">
        <f>SUM(C23:C26)</f>
        <v>2046790.72</v>
      </c>
    </row>
    <row r="28" ht="16" customHeight="1" spans="1:3">
      <c r="A28" s="14" t="s">
        <v>134</v>
      </c>
      <c r="B28" s="15">
        <f>B22-B27</f>
        <v>-1483681.9</v>
      </c>
      <c r="C28" s="15">
        <f>C22-C27</f>
        <v>-1151790.72</v>
      </c>
    </row>
    <row r="29" ht="16" customHeight="1" spans="1:3">
      <c r="A29" s="11" t="s">
        <v>135</v>
      </c>
      <c r="B29" s="12"/>
      <c r="C29" s="15"/>
    </row>
    <row r="30" ht="16" customHeight="1" spans="1:3">
      <c r="A30" s="14" t="s">
        <v>136</v>
      </c>
      <c r="B30" s="18"/>
      <c r="C30" s="15">
        <v>0</v>
      </c>
    </row>
    <row r="31" ht="16" customHeight="1" spans="1:3">
      <c r="A31" s="14" t="s">
        <v>137</v>
      </c>
      <c r="B31" s="15">
        <v>4900000</v>
      </c>
      <c r="C31" s="16">
        <v>2400000</v>
      </c>
    </row>
    <row r="32" ht="16" customHeight="1" spans="1:3">
      <c r="A32" s="14" t="s">
        <v>138</v>
      </c>
      <c r="B32" s="18"/>
      <c r="C32" s="15">
        <v>0</v>
      </c>
    </row>
    <row r="33" ht="16" customHeight="1" spans="1:3">
      <c r="A33" s="14" t="s">
        <v>139</v>
      </c>
      <c r="B33" s="15">
        <f>SUM(B30:B32)</f>
        <v>4900000</v>
      </c>
      <c r="C33" s="15">
        <f>SUM(C30:C32)</f>
        <v>2400000</v>
      </c>
    </row>
    <row r="34" ht="16" customHeight="1" spans="1:3">
      <c r="A34" s="14" t="s">
        <v>140</v>
      </c>
      <c r="B34" s="15">
        <v>2138229.51</v>
      </c>
      <c r="C34" s="16">
        <v>261770.49</v>
      </c>
    </row>
    <row r="35" ht="16" customHeight="1" spans="1:3">
      <c r="A35" s="14" t="s">
        <v>141</v>
      </c>
      <c r="B35" s="15">
        <v>184662.28</v>
      </c>
      <c r="C35" s="16">
        <v>61467.64</v>
      </c>
    </row>
    <row r="36" ht="16" customHeight="1" spans="1:3">
      <c r="A36" s="14" t="s">
        <v>142</v>
      </c>
      <c r="B36" s="18"/>
      <c r="C36" s="15">
        <v>0</v>
      </c>
    </row>
    <row r="37" ht="16" customHeight="1" spans="1:3">
      <c r="A37" s="14" t="s">
        <v>143</v>
      </c>
      <c r="B37" s="15">
        <f>SUM(B34:B36)</f>
        <v>2322891.79</v>
      </c>
      <c r="C37" s="15">
        <f>SUM(C34:C36)</f>
        <v>323238.13</v>
      </c>
    </row>
    <row r="38" ht="16" customHeight="1" spans="1:3">
      <c r="A38" s="14" t="s">
        <v>144</v>
      </c>
      <c r="B38" s="15">
        <f>B33-B37</f>
        <v>2577108.21</v>
      </c>
      <c r="C38" s="15">
        <f>C33-C37</f>
        <v>2076761.87</v>
      </c>
    </row>
    <row r="39" ht="16" customHeight="1" spans="1:3">
      <c r="A39" s="11" t="s">
        <v>145</v>
      </c>
      <c r="B39" s="12"/>
      <c r="C39" s="15">
        <v>0</v>
      </c>
    </row>
    <row r="40" ht="16" customHeight="1" spans="1:3">
      <c r="A40" s="11" t="s">
        <v>146</v>
      </c>
      <c r="B40" s="15">
        <f>B15+B28+B38+B39</f>
        <v>1754228</v>
      </c>
      <c r="C40" s="15">
        <f>C15+C28+C38+C39</f>
        <v>5458779.29</v>
      </c>
    </row>
    <row r="41" ht="16" customHeight="1" spans="1:3">
      <c r="A41" s="14" t="s">
        <v>147</v>
      </c>
      <c r="B41" s="15">
        <v>6593907.18</v>
      </c>
      <c r="C41" s="16">
        <v>1135127.89</v>
      </c>
    </row>
    <row r="42" ht="16" customHeight="1" spans="1:3">
      <c r="A42" s="11" t="s">
        <v>148</v>
      </c>
      <c r="B42" s="15">
        <f>B40+B41</f>
        <v>8348135.18</v>
      </c>
      <c r="C42" s="15">
        <f>C40+C41</f>
        <v>6593907.18</v>
      </c>
    </row>
  </sheetData>
  <mergeCells count="3">
    <mergeCell ref="A1:C1"/>
    <mergeCell ref="A2:B2"/>
    <mergeCell ref="A3:C3"/>
  </mergeCells>
  <printOptions horizontalCentered="1" verticalCentered="1"/>
  <pageMargins left="0.275" right="0.236111111111111" top="0.590277777777778" bottom="0.9875" header="0.416666666666667" footer="0.416666666666667"/>
  <pageSetup paperSize="9" orientation="portrait" blackAndWhite="1" useFirstPageNumber="1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资产负债表</vt:lpstr>
      <vt:lpstr>利润表</vt:lpstr>
      <vt:lpstr>现金流量表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2023-07-24T03:16:00Z</dcterms:created>
  <dcterms:modified xsi:type="dcterms:W3CDTF">2026-03-27T07:14:15Z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00634E5F65AD4F79A05CADF67E6725F1_13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